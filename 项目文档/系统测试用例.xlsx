
<file path=[Content_Types].xml><?xml version="1.0" encoding="utf-8"?>
<Types xmlns="http://schemas.openxmlformats.org/package/2006/content-types">
  <Default Extension="bin" ContentType="application/vnd.openxmlformats-officedocument.spreadsheetml.printerSettings"/>
  <Default Extension="jpe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7932"/>
  <workbookPr defaultThemeVersion="124226"/>
  <mc:AlternateContent xmlns:mc="http://schemas.openxmlformats.org/markup-compatibility/2006">
    <mc:Choice Requires="x15">
      <x15ac:absPath xmlns:x15ac="http://schemas.microsoft.com/office/spreadsheetml/2010/11/ac" url="C:\Users\yang\Desktop\SE25Project-05\DronePlatform\项目文档\"/>
    </mc:Choice>
  </mc:AlternateContent>
  <xr:revisionPtr revIDLastSave="0" documentId="13_ncr:1_{8979CBAE-C7C2-43BC-8427-4178A04DC467}" xr6:coauthVersionLast="47" xr6:coauthVersionMax="47" xr10:uidLastSave="{00000000-0000-0000-0000-000000000000}"/>
  <bookViews>
    <workbookView xWindow="-110" yWindow="-110" windowWidth="38620" windowHeight="21220" xr2:uid="{00000000-000D-0000-FFFF-FFFF00000000}"/>
  </bookViews>
  <sheets>
    <sheet name="Information" sheetId="7" r:id="rId1"/>
    <sheet name="Test Cases" sheetId="8" r:id="rId2"/>
    <sheet name="常用测试方法" sheetId="3" r:id="rId3"/>
  </sheets>
  <definedNames>
    <definedName name="_Toc213169664" localSheetId="1">'Test Cases'!$A$6</definedName>
    <definedName name="安装测试用例常用测试项">常用测试方法!#REF!</definedName>
    <definedName name="单元测试用例常用测试项">常用测试方法!#REF!</definedName>
    <definedName name="功能测试用例常用测试项">常用测试方法!#REF!</definedName>
    <definedName name="界面测试用例常用测试项">常用测试方法!#REF!</definedName>
    <definedName name="压力测试用例常用测试项">常用测试方法!#REF!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1"/>
    </ext>
  </extLst>
</workbook>
</file>

<file path=xl/calcChain.xml><?xml version="1.0" encoding="utf-8"?>
<calcChain xmlns="http://schemas.openxmlformats.org/spreadsheetml/2006/main">
  <c r="D20" i="7" l="1"/>
  <c r="E24" i="7"/>
  <c r="D24" i="7"/>
  <c r="E23" i="7"/>
  <c r="D23" i="7"/>
  <c r="E22" i="7"/>
  <c r="D22" i="7"/>
  <c r="E25" i="7"/>
  <c r="D25" i="7"/>
  <c r="E21" i="7"/>
  <c r="D21" i="7"/>
  <c r="E27" i="7"/>
  <c r="E26" i="7"/>
  <c r="F26" i="7" s="1"/>
  <c r="D26" i="7"/>
  <c r="F23" i="7" l="1"/>
  <c r="F22" i="7"/>
  <c r="F24" i="7"/>
  <c r="F21" i="7"/>
  <c r="F25" i="7"/>
  <c r="D27" i="7"/>
  <c r="F27" i="7" s="1"/>
  <c r="F20" i="7"/>
</calcChain>
</file>

<file path=xl/sharedStrings.xml><?xml version="1.0" encoding="utf-8"?>
<sst xmlns="http://schemas.openxmlformats.org/spreadsheetml/2006/main" count="367" uniqueCount="245">
  <si>
    <t>仅供收件方查阅</t>
    <phoneticPr fontId="2" type="noConversion"/>
  </si>
  <si>
    <r>
      <t>测试用例</t>
    </r>
    <r>
      <rPr>
        <b/>
        <sz val="20"/>
        <rFont val="Times New Roman"/>
        <family val="1"/>
      </rPr>
      <t xml:space="preserve"> </t>
    </r>
    <phoneticPr fontId="2" type="noConversion"/>
  </si>
  <si>
    <t>OK</t>
    <phoneticPr fontId="2" type="noConversion"/>
  </si>
  <si>
    <r>
      <t xml:space="preserve">Revision Record </t>
    </r>
    <r>
      <rPr>
        <sz val="12"/>
        <rFont val="宋体"/>
        <charset val="134"/>
      </rPr>
      <t>修订记录</t>
    </r>
  </si>
  <si>
    <r>
      <t xml:space="preserve">Revision Version </t>
    </r>
    <r>
      <rPr>
        <sz val="12"/>
        <rFont val="宋体"/>
        <charset val="134"/>
      </rPr>
      <t>修订</t>
    </r>
    <r>
      <rPr>
        <sz val="12"/>
        <rFont val="Times New Roman"/>
        <family val="1"/>
      </rPr>
      <t xml:space="preserve"> </t>
    </r>
    <r>
      <rPr>
        <sz val="12"/>
        <rFont val="宋体"/>
        <charset val="134"/>
      </rPr>
      <t>版本</t>
    </r>
  </si>
  <si>
    <t>1.00</t>
    <phoneticPr fontId="2" type="noConversion"/>
  </si>
  <si>
    <t>测试用例详情</t>
    <phoneticPr fontId="2" type="noConversion"/>
  </si>
  <si>
    <t>文档帮助</t>
    <phoneticPr fontId="2" type="noConversion"/>
  </si>
  <si>
    <t>功能测试</t>
    <phoneticPr fontId="2" type="noConversion"/>
  </si>
  <si>
    <t>部署测试</t>
    <phoneticPr fontId="2" type="noConversion"/>
  </si>
  <si>
    <r>
      <t xml:space="preserve">Prepared by 
</t>
    </r>
    <r>
      <rPr>
        <sz val="12"/>
        <rFont val="宋体"/>
        <charset val="134"/>
      </rPr>
      <t>拟制</t>
    </r>
    <phoneticPr fontId="2" type="noConversion"/>
  </si>
  <si>
    <r>
      <t xml:space="preserve">Date
</t>
    </r>
    <r>
      <rPr>
        <sz val="12"/>
        <rFont val="宋体"/>
        <charset val="134"/>
      </rPr>
      <t>日期</t>
    </r>
    <phoneticPr fontId="2" type="noConversion"/>
  </si>
  <si>
    <r>
      <t xml:space="preserve">Reviewed by 
</t>
    </r>
    <r>
      <rPr>
        <sz val="12"/>
        <rFont val="宋体"/>
        <charset val="134"/>
      </rPr>
      <t>评审人</t>
    </r>
    <phoneticPr fontId="2" type="noConversion"/>
  </si>
  <si>
    <r>
      <t xml:space="preserve">Approved by
</t>
    </r>
    <r>
      <rPr>
        <sz val="12"/>
        <rFont val="宋体"/>
        <charset val="134"/>
      </rPr>
      <t>批准</t>
    </r>
    <phoneticPr fontId="2" type="noConversion"/>
  </si>
  <si>
    <t>类别</t>
    <phoneticPr fontId="2" type="noConversion"/>
  </si>
  <si>
    <t>通过数</t>
    <phoneticPr fontId="2" type="noConversion"/>
  </si>
  <si>
    <t>用例数</t>
    <phoneticPr fontId="2" type="noConversion"/>
  </si>
  <si>
    <t>通过率</t>
    <phoneticPr fontId="2" type="noConversion"/>
  </si>
  <si>
    <t>项目编号
Project ID</t>
    <phoneticPr fontId="2" type="noConversion"/>
  </si>
  <si>
    <t>版本
version</t>
    <phoneticPr fontId="2" type="noConversion"/>
  </si>
  <si>
    <r>
      <rPr>
        <sz val="12"/>
        <rFont val="宋体"/>
        <charset val="134"/>
      </rPr>
      <t xml:space="preserve">文档编号
</t>
    </r>
    <r>
      <rPr>
        <sz val="12"/>
        <rFont val="Times New Roman"/>
        <family val="1"/>
      </rPr>
      <t>Document Code</t>
    </r>
    <phoneticPr fontId="2" type="noConversion"/>
  </si>
  <si>
    <t>项目名称
Project Name</t>
    <phoneticPr fontId="2" type="noConversion"/>
  </si>
  <si>
    <t>密级
Confidentiality Level</t>
    <phoneticPr fontId="2" type="noConversion"/>
  </si>
  <si>
    <r>
      <t xml:space="preserve">Date
 </t>
    </r>
    <r>
      <rPr>
        <sz val="12"/>
        <rFont val="宋体"/>
        <charset val="134"/>
      </rPr>
      <t>日期</t>
    </r>
    <r>
      <rPr>
        <sz val="12"/>
        <rFont val="Times New Roman"/>
        <family val="1"/>
      </rPr>
      <t xml:space="preserve"> </t>
    </r>
    <phoneticPr fontId="2" type="noConversion"/>
  </si>
  <si>
    <r>
      <t xml:space="preserve">Change Description
 </t>
    </r>
    <r>
      <rPr>
        <sz val="12"/>
        <rFont val="宋体"/>
        <charset val="134"/>
      </rPr>
      <t>修改描述</t>
    </r>
    <phoneticPr fontId="2" type="noConversion"/>
  </si>
  <si>
    <r>
      <t xml:space="preserve">Author
 </t>
    </r>
    <r>
      <rPr>
        <sz val="12"/>
        <rFont val="宋体"/>
        <charset val="134"/>
      </rPr>
      <t>作者</t>
    </r>
    <phoneticPr fontId="2" type="noConversion"/>
  </si>
  <si>
    <t>功能测试</t>
  </si>
  <si>
    <t>功能测试</t>
    <phoneticPr fontId="2" type="noConversion"/>
  </si>
  <si>
    <t>部署测试</t>
    <phoneticPr fontId="2" type="noConversion"/>
  </si>
  <si>
    <t>合计</t>
    <phoneticPr fontId="2" type="noConversion"/>
  </si>
  <si>
    <t>测试结果分析</t>
    <phoneticPr fontId="2" type="noConversion"/>
  </si>
  <si>
    <t>1.0</t>
    <phoneticPr fontId="2" type="noConversion"/>
  </si>
  <si>
    <t>中</t>
  </si>
  <si>
    <t>性能测试</t>
    <phoneticPr fontId="2" type="noConversion"/>
  </si>
  <si>
    <t>易用性测试</t>
    <phoneticPr fontId="2" type="noConversion"/>
  </si>
  <si>
    <t>可靠性测试</t>
    <phoneticPr fontId="2" type="noConversion"/>
  </si>
  <si>
    <t>安全性测试</t>
    <phoneticPr fontId="2" type="noConversion"/>
  </si>
  <si>
    <t>兼容性测试</t>
    <phoneticPr fontId="2" type="noConversion"/>
  </si>
  <si>
    <t>Shanghai Jiao Tong University
上海交通大学 
上海市闵行区东川路800号</t>
    <phoneticPr fontId="2" type="noConversion"/>
  </si>
  <si>
    <r>
      <t xml:space="preserve">initial </t>
    </r>
    <r>
      <rPr>
        <sz val="12"/>
        <color indexed="48"/>
        <rFont val="宋体"/>
        <charset val="134"/>
      </rPr>
      <t>初稿完成</t>
    </r>
    <phoneticPr fontId="2" type="noConversion"/>
  </si>
  <si>
    <t>Project ID_PI_001</t>
    <phoneticPr fontId="2" type="noConversion"/>
  </si>
  <si>
    <r>
      <rPr>
        <sz val="20"/>
        <color rgb="FF0066FF"/>
        <rFont val="华文细黑"/>
        <family val="3"/>
        <charset val="134"/>
      </rPr>
      <t>XX</t>
    </r>
    <r>
      <rPr>
        <sz val="20"/>
        <rFont val="华文细黑"/>
        <charset val="134"/>
      </rPr>
      <t xml:space="preserve"> System Test Case Form
</t>
    </r>
    <r>
      <rPr>
        <sz val="20"/>
        <color indexed="48"/>
        <rFont val="华文细黑"/>
        <charset val="134"/>
      </rPr>
      <t>XX</t>
    </r>
    <r>
      <rPr>
        <sz val="20"/>
        <rFont val="华文细黑"/>
        <charset val="134"/>
      </rPr>
      <t>系统测试用例</t>
    </r>
    <phoneticPr fontId="2" type="noConversion"/>
  </si>
  <si>
    <t>yyyy-mm-dd</t>
    <phoneticPr fontId="2" type="noConversion"/>
  </si>
  <si>
    <t>用户注册</t>
    <phoneticPr fontId="22" type="noConversion"/>
  </si>
  <si>
    <t>测试注册正常数据是否成功</t>
    <phoneticPr fontId="22" type="noConversion"/>
  </si>
  <si>
    <t>高</t>
    <phoneticPr fontId="22" type="noConversion"/>
  </si>
  <si>
    <t>用户注册成功</t>
    <phoneticPr fontId="22" type="noConversion"/>
  </si>
  <si>
    <t>测试注册非法数据是否成功</t>
    <phoneticPr fontId="22" type="noConversion"/>
  </si>
  <si>
    <r>
      <t xml:space="preserve">Test Case ID
 </t>
    </r>
    <r>
      <rPr>
        <b/>
        <sz val="12"/>
        <color theme="0"/>
        <rFont val="宋体"/>
        <family val="3"/>
        <charset val="134"/>
      </rPr>
      <t>测试用例编号</t>
    </r>
    <phoneticPr fontId="2" type="noConversion"/>
  </si>
  <si>
    <r>
      <t xml:space="preserve">Test Item 
</t>
    </r>
    <r>
      <rPr>
        <b/>
        <sz val="12"/>
        <color theme="0"/>
        <rFont val="宋体"/>
        <family val="3"/>
        <charset val="134"/>
      </rPr>
      <t>测试项</t>
    </r>
    <phoneticPr fontId="2" type="noConversion"/>
  </si>
  <si>
    <r>
      <t xml:space="preserve">Test Type
</t>
    </r>
    <r>
      <rPr>
        <b/>
        <sz val="12"/>
        <color theme="0"/>
        <rFont val="宋体"/>
        <family val="3"/>
        <charset val="134"/>
      </rPr>
      <t>测试类型</t>
    </r>
    <phoneticPr fontId="2" type="noConversion"/>
  </si>
  <si>
    <r>
      <t xml:space="preserve">Test Case Title 
</t>
    </r>
    <r>
      <rPr>
        <b/>
        <sz val="12"/>
        <color theme="0"/>
        <rFont val="宋体"/>
        <family val="3"/>
        <charset val="134"/>
      </rPr>
      <t>测试用例标题</t>
    </r>
    <phoneticPr fontId="2" type="noConversion"/>
  </si>
  <si>
    <r>
      <t xml:space="preserve">Test Criticality
</t>
    </r>
    <r>
      <rPr>
        <b/>
        <sz val="12"/>
        <color theme="0"/>
        <rFont val="宋体"/>
        <family val="3"/>
        <charset val="134"/>
      </rPr>
      <t>测试优先级</t>
    </r>
    <phoneticPr fontId="2" type="noConversion"/>
  </si>
  <si>
    <r>
      <t xml:space="preserve">Pre-condition
 </t>
    </r>
    <r>
      <rPr>
        <b/>
        <sz val="12"/>
        <color theme="0"/>
        <rFont val="宋体"/>
        <family val="3"/>
        <charset val="134"/>
      </rPr>
      <t>预置条件</t>
    </r>
    <phoneticPr fontId="2" type="noConversion"/>
  </si>
  <si>
    <r>
      <t xml:space="preserve">Expected Output
 </t>
    </r>
    <r>
      <rPr>
        <b/>
        <sz val="12"/>
        <color theme="0"/>
        <rFont val="宋体"/>
        <family val="3"/>
        <charset val="134"/>
      </rPr>
      <t>预期结果</t>
    </r>
    <phoneticPr fontId="2" type="noConversion"/>
  </si>
  <si>
    <r>
      <t xml:space="preserve">Result
</t>
    </r>
    <r>
      <rPr>
        <b/>
        <sz val="12"/>
        <color theme="0"/>
        <rFont val="宋体"/>
        <family val="3"/>
        <charset val="134"/>
      </rPr>
      <t>实际结果</t>
    </r>
    <phoneticPr fontId="2" type="noConversion"/>
  </si>
  <si>
    <r>
      <t xml:space="preserve">Status
</t>
    </r>
    <r>
      <rPr>
        <b/>
        <sz val="12"/>
        <color theme="0"/>
        <rFont val="宋体"/>
        <family val="3"/>
        <charset val="134"/>
      </rPr>
      <t>是否通过</t>
    </r>
    <phoneticPr fontId="2" type="noConversion"/>
  </si>
  <si>
    <r>
      <t xml:space="preserve">BUG Severity
</t>
    </r>
    <r>
      <rPr>
        <b/>
        <sz val="12"/>
        <color theme="0"/>
        <rFont val="宋体"/>
        <family val="3"/>
        <charset val="134"/>
      </rPr>
      <t>错误严重等级</t>
    </r>
    <phoneticPr fontId="2" type="noConversion"/>
  </si>
  <si>
    <r>
      <t xml:space="preserve">Remark
 </t>
    </r>
    <r>
      <rPr>
        <b/>
        <sz val="12"/>
        <color theme="0"/>
        <rFont val="宋体"/>
        <family val="3"/>
        <charset val="134"/>
      </rPr>
      <t>备注</t>
    </r>
    <phoneticPr fontId="2" type="noConversion"/>
  </si>
  <si>
    <t>权限控制测试：测试系统的认证、授权、鉴权和权限控制，确保用户在所授的权限内进行功能的操作和数据的存取。
漏洞检测：基于漏洞数据库，通过漏洞扫描工具采用静态和动态手段对系统的安全脆弱性进行检测，发现漏洞。
安全攻击：进行威胁建模，找出可以实施渗透攻击的攻击点，进行验证。</t>
    <phoneticPr fontId="2" type="noConversion"/>
  </si>
  <si>
    <t>易理解性测试：测试软件使用户能理解软件是否合适以及如何能将软件用于特定的任务和使用条件的能力。
易学性测试：测试软件使用户能学习其应用的能力。
易操作性测试：测试软件使用户能操作和控制它的能力。
吸引性测试：测试软件吸引用户的能力。</t>
    <phoneticPr fontId="2" type="noConversion"/>
  </si>
  <si>
    <t>首次安装测试、升级安装测试、卸装测试</t>
    <phoneticPr fontId="2" type="noConversion"/>
  </si>
  <si>
    <r>
      <t>关注故障的避免、预防、容错和恢复：通过自然方式和故障注入方式来触发和激活系统中的故障来测试。
常用指标：可用性Availability、</t>
    </r>
    <r>
      <rPr>
        <sz val="10.5"/>
        <rFont val="宋体"/>
        <charset val="134"/>
      </rPr>
      <t>平均故障间隔时间</t>
    </r>
    <r>
      <rPr>
        <sz val="10.5"/>
        <rFont val="宋体"/>
        <family val="3"/>
        <charset val="134"/>
      </rPr>
      <t>MTBF、平均故障修复时间MTTR。</t>
    </r>
    <phoneticPr fontId="2" type="noConversion"/>
  </si>
  <si>
    <r>
      <t>测试在规定条件(如并发数、数据量)</t>
    </r>
    <r>
      <rPr>
        <sz val="10.5"/>
        <rFont val="宋体"/>
        <charset val="134"/>
      </rPr>
      <t>下，软件执行其功能时，提供适当的响应和处理时间以及吞吐率的能力，</t>
    </r>
    <r>
      <rPr>
        <sz val="10.5"/>
        <rFont val="宋体"/>
        <family val="3"/>
        <charset val="134"/>
      </rPr>
      <t>以及</t>
    </r>
    <r>
      <rPr>
        <sz val="10.5"/>
        <rFont val="宋体"/>
        <charset val="134"/>
      </rPr>
      <t>CPU、内存、网络等</t>
    </r>
    <r>
      <rPr>
        <sz val="10.5"/>
        <rFont val="宋体"/>
        <family val="3"/>
        <charset val="134"/>
      </rPr>
      <t>资源的使用情况</t>
    </r>
    <r>
      <rPr>
        <sz val="10.5"/>
        <rFont val="宋体"/>
        <charset val="134"/>
      </rPr>
      <t>。</t>
    </r>
    <r>
      <rPr>
        <sz val="10.5"/>
        <rFont val="宋体"/>
        <family val="3"/>
        <charset val="134"/>
      </rPr>
      <t>通常采用性能测试工具来模拟多个并发用户进行测试。</t>
    </r>
    <phoneticPr fontId="2" type="noConversion"/>
  </si>
  <si>
    <t>采用场景法测试所有用例的所有事件流；
采用等价类划分、边界值分析、判定表法、错误猜测法等进行输入输出的测试。</t>
    <phoneticPr fontId="2" type="noConversion"/>
  </si>
  <si>
    <t>测试与其他软件或硬件的兼容。
例如系统前端与各种Web浏览器及各版本与各分辨率的兼容，系统后端与各种操作系统及数据库的兼容。</t>
    <phoneticPr fontId="2" type="noConversion"/>
  </si>
  <si>
    <t>测试类型</t>
    <phoneticPr fontId="2" type="noConversion"/>
  </si>
  <si>
    <t>常用测试方法</t>
    <phoneticPr fontId="2" type="noConversion"/>
  </si>
  <si>
    <t>高</t>
    <phoneticPr fontId="2" type="noConversion"/>
  </si>
  <si>
    <r>
      <t xml:space="preserve">Input &amp; Procedure 
</t>
    </r>
    <r>
      <rPr>
        <b/>
        <sz val="12"/>
        <color theme="0"/>
        <rFont val="宋体"/>
        <family val="3"/>
        <charset val="134"/>
      </rPr>
      <t>输入与操作</t>
    </r>
    <phoneticPr fontId="2" type="noConversion"/>
  </si>
  <si>
    <t>中</t>
    <phoneticPr fontId="2" type="noConversion"/>
  </si>
  <si>
    <t>无人机虚拟仿真训练平台</t>
    <phoneticPr fontId="2" type="noConversion"/>
  </si>
  <si>
    <t>洪旸，潘隆俊，</t>
    <phoneticPr fontId="2" type="noConversion"/>
  </si>
  <si>
    <r>
      <rPr>
        <sz val="11"/>
        <rFont val="宋体"/>
        <family val="1"/>
        <charset val="134"/>
      </rPr>
      <t>无人机虚拟仿真训练平台</t>
    </r>
    <r>
      <rPr>
        <sz val="11"/>
        <rFont val="Times New Roman"/>
        <family val="1"/>
      </rPr>
      <t>-testcase-001</t>
    </r>
    <phoneticPr fontId="22" type="noConversion"/>
  </si>
  <si>
    <t>用户登录</t>
    <phoneticPr fontId="22" type="noConversion"/>
  </si>
  <si>
    <t>测试使用正确的用户名与密码能否成功登录</t>
    <phoneticPr fontId="22" type="noConversion"/>
  </si>
  <si>
    <t>系统可正常启动，客户端可访问登录页面
账户“test”已存在，密码为“123456”</t>
    <phoneticPr fontId="22" type="noConversion"/>
  </si>
  <si>
    <r>
      <rPr>
        <sz val="11"/>
        <rFont val="宋体"/>
        <family val="1"/>
        <charset val="134"/>
      </rPr>
      <t>1.输入用户名：</t>
    </r>
    <r>
      <rPr>
        <sz val="11"/>
        <rFont val="Times New Roman"/>
        <family val="1"/>
      </rPr>
      <t xml:space="preserve">pilot001
</t>
    </r>
    <r>
      <rPr>
        <sz val="11"/>
        <rFont val="宋体"/>
        <family val="1"/>
        <charset val="134"/>
      </rPr>
      <t>2.输入密码：</t>
    </r>
    <r>
      <rPr>
        <sz val="11"/>
        <rFont val="Times New Roman"/>
        <family val="1"/>
      </rPr>
      <t xml:space="preserve">123456
</t>
    </r>
    <r>
      <rPr>
        <sz val="11"/>
        <rFont val="宋体"/>
        <family val="1"/>
        <charset val="134"/>
      </rPr>
      <t>3.点击“登录”按钮</t>
    </r>
    <phoneticPr fontId="22" type="noConversion"/>
  </si>
  <si>
    <t>系统成功验证身份，进入主界面</t>
    <phoneticPr fontId="22" type="noConversion"/>
  </si>
  <si>
    <r>
      <rPr>
        <sz val="11"/>
        <rFont val="宋体"/>
        <family val="1"/>
        <charset val="134"/>
      </rPr>
      <t>无人机虚拟仿真训练平台</t>
    </r>
    <r>
      <rPr>
        <sz val="11"/>
        <rFont val="Times New Roman"/>
        <family val="1"/>
      </rPr>
      <t>-testcase-002</t>
    </r>
    <phoneticPr fontId="22" type="noConversion"/>
  </si>
  <si>
    <t>测试输入错误用户名或密码时系统的处理</t>
    <phoneticPr fontId="2" type="noConversion"/>
  </si>
  <si>
    <t>系统可正常访问
正确账号为 test/123456</t>
    <phoneticPr fontId="2" type="noConversion"/>
  </si>
  <si>
    <r>
      <rPr>
        <sz val="12"/>
        <rFont val="等线"/>
        <family val="1"/>
        <charset val="134"/>
      </rPr>
      <t>1.输入用户名：</t>
    </r>
    <r>
      <rPr>
        <sz val="12"/>
        <rFont val="Times New Roman"/>
        <family val="1"/>
      </rPr>
      <t xml:space="preserve">test
</t>
    </r>
    <r>
      <rPr>
        <sz val="12"/>
        <rFont val="等线"/>
        <family val="1"/>
        <charset val="134"/>
      </rPr>
      <t>2.输入密码：000000（错误密码）
3.点击“登录按钮”</t>
    </r>
    <phoneticPr fontId="2" type="noConversion"/>
  </si>
  <si>
    <t>系统提示：“用户名或密码错误，请重新输入”，保持在登录界面，不进入主界面</t>
    <phoneticPr fontId="2" type="noConversion"/>
  </si>
  <si>
    <r>
      <rPr>
        <sz val="11"/>
        <rFont val="宋体"/>
        <family val="1"/>
        <charset val="134"/>
      </rPr>
      <t>无人机虚拟仿真训练平台</t>
    </r>
    <r>
      <rPr>
        <sz val="11"/>
        <rFont val="Times New Roman"/>
        <family val="1"/>
      </rPr>
      <t>-testcase-003</t>
    </r>
    <phoneticPr fontId="22" type="noConversion"/>
  </si>
  <si>
    <t>系统可正常访问</t>
    <phoneticPr fontId="22" type="noConversion"/>
  </si>
  <si>
    <r>
      <rPr>
        <sz val="12"/>
        <rFont val="等线"/>
        <family val="1"/>
        <charset val="134"/>
      </rPr>
      <t>1.输入用户名：</t>
    </r>
    <r>
      <rPr>
        <sz val="12"/>
        <rFont val="Times New Roman"/>
        <family val="1"/>
      </rPr>
      <t xml:space="preserve">test01
</t>
    </r>
    <r>
      <rPr>
        <sz val="12"/>
        <rFont val="等线"/>
        <family val="1"/>
        <charset val="134"/>
      </rPr>
      <t>2.输入密码：123456
3.重复输入密码：123456
4.输入邮箱：test01@163.com</t>
    </r>
    <r>
      <rPr>
        <sz val="12"/>
        <rFont val="Times New Roman"/>
        <family val="1"/>
        <charset val="134"/>
      </rPr>
      <t xml:space="preserve">
5.</t>
    </r>
    <r>
      <rPr>
        <sz val="12"/>
        <rFont val="等线"/>
        <family val="1"/>
        <charset val="134"/>
      </rPr>
      <t>点击“注册”按钮</t>
    </r>
    <phoneticPr fontId="2" type="noConversion"/>
  </si>
  <si>
    <r>
      <rPr>
        <sz val="11"/>
        <rFont val="宋体"/>
        <family val="1"/>
        <charset val="134"/>
      </rPr>
      <t>无人机虚拟仿真训练平台</t>
    </r>
    <r>
      <rPr>
        <sz val="11"/>
        <rFont val="Times New Roman"/>
        <family val="1"/>
      </rPr>
      <t>-testcase-004</t>
    </r>
    <phoneticPr fontId="22" type="noConversion"/>
  </si>
  <si>
    <r>
      <rPr>
        <sz val="12"/>
        <rFont val="等线"/>
        <family val="1"/>
        <charset val="134"/>
      </rPr>
      <t>1.输入用户名：</t>
    </r>
    <r>
      <rPr>
        <sz val="12"/>
        <rFont val="Times New Roman"/>
        <family val="1"/>
      </rPr>
      <t xml:space="preserve">test01
</t>
    </r>
    <r>
      <rPr>
        <sz val="12"/>
        <rFont val="等线"/>
        <family val="1"/>
        <charset val="134"/>
      </rPr>
      <t>2.输入密码：123456
3.重复输入密码：654321
4.输入邮箱：test01163.com</t>
    </r>
    <r>
      <rPr>
        <sz val="12"/>
        <rFont val="Times New Roman"/>
        <family val="1"/>
        <charset val="134"/>
      </rPr>
      <t xml:space="preserve">
5.</t>
    </r>
    <r>
      <rPr>
        <sz val="12"/>
        <rFont val="等线"/>
        <family val="1"/>
        <charset val="134"/>
      </rPr>
      <t>点击“注册”按钮</t>
    </r>
    <phoneticPr fontId="2" type="noConversion"/>
  </si>
  <si>
    <t>提示两次密码不一致，邮箱格式错误</t>
    <phoneticPr fontId="22" type="noConversion"/>
  </si>
  <si>
    <t>训练任务选择</t>
    <phoneticPr fontId="2" type="noConversion"/>
  </si>
  <si>
    <t>测试选择地形与环
境条件后场景能否正常加载</t>
    <phoneticPr fontId="2" type="noConversion"/>
  </si>
  <si>
    <t>用户已成功登录系统
所有场景文件、天气参数文件均存在且可正常访问</t>
    <phoneticPr fontId="2" type="noConversion"/>
  </si>
  <si>
    <r>
      <t>1.</t>
    </r>
    <r>
      <rPr>
        <sz val="12"/>
        <rFont val="等线"/>
        <family val="1"/>
        <charset val="134"/>
      </rPr>
      <t>在训练任务选择界面选择地形类型：城市
2.设置环境条件：
风速：5</t>
    </r>
    <r>
      <rPr>
        <sz val="12"/>
        <rFont val="Times New Roman"/>
        <family val="1"/>
      </rPr>
      <t xml:space="preserve">m/s
</t>
    </r>
    <r>
      <rPr>
        <sz val="12"/>
        <rFont val="宋体"/>
        <family val="1"/>
        <charset val="134"/>
      </rPr>
      <t>风向：</t>
    </r>
    <r>
      <rPr>
        <sz val="12"/>
        <rFont val="Times New Roman"/>
        <family val="1"/>
      </rPr>
      <t xml:space="preserve">45°
</t>
    </r>
    <r>
      <rPr>
        <sz val="12"/>
        <rFont val="等线"/>
        <family val="1"/>
        <charset val="134"/>
      </rPr>
      <t xml:space="preserve">天气：小雨
</t>
    </r>
    <r>
      <rPr>
        <sz val="12"/>
        <rFont val="Times New Roman"/>
        <family val="1"/>
      </rPr>
      <t>3.</t>
    </r>
    <r>
      <rPr>
        <sz val="12"/>
        <rFont val="等线"/>
        <family val="1"/>
        <charset val="134"/>
      </rPr>
      <t>点击“开始训练”</t>
    </r>
    <phoneticPr fontId="2" type="noConversion"/>
  </si>
  <si>
    <t>系统加载城市三维模型与相应的物理仿真参数，成功进入训练场景界面，显示无人机初始位置与场景概况</t>
    <phoneticPr fontId="2" type="noConversion"/>
  </si>
  <si>
    <r>
      <rPr>
        <sz val="11"/>
        <rFont val="宋体"/>
        <family val="1"/>
        <charset val="134"/>
      </rPr>
      <t>无人机虚拟仿真训练平台</t>
    </r>
    <r>
      <rPr>
        <sz val="11"/>
        <rFont val="Times New Roman"/>
        <family val="1"/>
      </rPr>
      <t>-testcase-005</t>
    </r>
    <phoneticPr fontId="22" type="noConversion"/>
  </si>
  <si>
    <t>用户已登录
林地场景文件存在</t>
    <phoneticPr fontId="2" type="noConversion"/>
  </si>
  <si>
    <r>
      <t>1.</t>
    </r>
    <r>
      <rPr>
        <sz val="12"/>
        <rFont val="宋体"/>
        <family val="1"/>
        <charset val="134"/>
      </rPr>
      <t>选择地形类型：林地
2.环境参数保持默认
3.点击“开始训练”</t>
    </r>
    <phoneticPr fontId="2" type="noConversion"/>
  </si>
  <si>
    <t>系统加载林地三维模型
成功进入训练界面</t>
    <phoneticPr fontId="2" type="noConversion"/>
  </si>
  <si>
    <r>
      <rPr>
        <sz val="11"/>
        <rFont val="宋体"/>
        <family val="1"/>
        <charset val="134"/>
      </rPr>
      <t>无人机虚拟仿真训练平台</t>
    </r>
    <r>
      <rPr>
        <sz val="11"/>
        <rFont val="Times New Roman"/>
        <family val="1"/>
      </rPr>
      <t>-testcase-006</t>
    </r>
    <phoneticPr fontId="22" type="noConversion"/>
  </si>
  <si>
    <r>
      <rPr>
        <sz val="11"/>
        <rFont val="宋体"/>
        <family val="1"/>
        <charset val="134"/>
      </rPr>
      <t>无人机虚拟仿真训练平台</t>
    </r>
    <r>
      <rPr>
        <sz val="11"/>
        <rFont val="Times New Roman"/>
        <family val="1"/>
      </rPr>
      <t>-testcase-007</t>
    </r>
    <phoneticPr fontId="22" type="noConversion"/>
  </si>
  <si>
    <t>场景文件缺失导致加载失败</t>
  </si>
  <si>
    <t>环境参数设置</t>
    <phoneticPr fontId="2" type="noConversion"/>
  </si>
  <si>
    <t>测试大雾天气条件是否能正确生效</t>
    <phoneticPr fontId="2" type="noConversion"/>
  </si>
  <si>
    <t>场景加载</t>
    <phoneticPr fontId="2" type="noConversion"/>
  </si>
  <si>
    <r>
      <rPr>
        <sz val="11"/>
        <rFont val="宋体"/>
        <family val="1"/>
        <charset val="134"/>
      </rPr>
      <t>无人机虚拟仿真训练平台</t>
    </r>
    <r>
      <rPr>
        <sz val="11"/>
        <rFont val="Times New Roman"/>
        <family val="1"/>
      </rPr>
      <t>-testcase-008</t>
    </r>
    <phoneticPr fontId="22" type="noConversion"/>
  </si>
  <si>
    <t>用户已登录
人为删除某个地形文件：如城市场景模型文件缺失</t>
    <phoneticPr fontId="2" type="noConversion"/>
  </si>
  <si>
    <r>
      <t>1.</t>
    </r>
    <r>
      <rPr>
        <sz val="12"/>
        <rFont val="宋体"/>
        <family val="1"/>
        <charset val="134"/>
      </rPr>
      <t>选择地形类型：城市
2.环境参数保持默认
3.点击“开始训练”</t>
    </r>
    <phoneticPr fontId="2" type="noConversion"/>
  </si>
  <si>
    <t>系统无法正常加载场景
显示错误提示：“场景文件缺失或损坏，请重新选择”
返回训练任务选择界面</t>
    <phoneticPr fontId="2" type="noConversion"/>
  </si>
  <si>
    <t>测试林地场景是否能正确加载</t>
    <phoneticPr fontId="2" type="noConversion"/>
  </si>
  <si>
    <t>测试物理仿真参数加载失败时系统的处理</t>
    <phoneticPr fontId="2" type="noConversion"/>
  </si>
  <si>
    <r>
      <rPr>
        <sz val="12"/>
        <rFont val="宋体"/>
        <family val="1"/>
        <charset val="134"/>
      </rPr>
      <t>1.选择地形类型：城市</t>
    </r>
    <r>
      <rPr>
        <sz val="12"/>
        <rFont val="Times New Roman"/>
        <family val="1"/>
      </rPr>
      <t xml:space="preserve">
</t>
    </r>
    <r>
      <rPr>
        <sz val="12"/>
        <rFont val="宋体"/>
        <family val="1"/>
        <charset val="134"/>
      </rPr>
      <t>2.设置默认环境参数</t>
    </r>
    <r>
      <rPr>
        <sz val="12"/>
        <rFont val="Times New Roman"/>
        <family val="1"/>
      </rPr>
      <t xml:space="preserve">
</t>
    </r>
    <r>
      <rPr>
        <sz val="12"/>
        <rFont val="宋体"/>
        <family val="1"/>
        <charset val="134"/>
      </rPr>
      <t>3.点击“开始训练”</t>
    </r>
    <phoneticPr fontId="2" type="noConversion"/>
  </si>
  <si>
    <r>
      <rPr>
        <sz val="12"/>
        <rFont val="宋体"/>
        <family val="1"/>
        <charset val="134"/>
      </rPr>
      <t>用户已登录</t>
    </r>
    <r>
      <rPr>
        <sz val="12"/>
        <rFont val="Times New Roman"/>
        <family val="1"/>
      </rPr>
      <t xml:space="preserve">
</t>
    </r>
    <r>
      <rPr>
        <sz val="12"/>
        <rFont val="宋体"/>
        <family val="1"/>
        <charset val="134"/>
      </rPr>
      <t>城市场景文件完整</t>
    </r>
    <r>
      <rPr>
        <sz val="12"/>
        <rFont val="Times New Roman"/>
        <family val="1"/>
      </rPr>
      <t xml:space="preserve">
</t>
    </r>
    <r>
      <rPr>
        <sz val="12"/>
        <rFont val="宋体"/>
        <family val="1"/>
        <charset val="134"/>
      </rPr>
      <t>人为破坏对应物理仿真参数文件</t>
    </r>
    <phoneticPr fontId="2" type="noConversion"/>
  </si>
  <si>
    <t>系统无法正常加载场景
系统提示：“物理仿真参数加载失败，请检查配置文件”
返回训练任务选择界面</t>
    <phoneticPr fontId="2" type="noConversion"/>
  </si>
  <si>
    <r>
      <rPr>
        <sz val="11"/>
        <rFont val="宋体"/>
        <family val="1"/>
        <charset val="134"/>
      </rPr>
      <t>无人机虚拟仿真训练平台</t>
    </r>
    <r>
      <rPr>
        <sz val="11"/>
        <rFont val="Times New Roman"/>
        <family val="1"/>
      </rPr>
      <t>-testcase-009</t>
    </r>
    <phoneticPr fontId="22" type="noConversion"/>
  </si>
  <si>
    <t>执行训练任务</t>
  </si>
  <si>
    <t>测试定点悬停任务正常执行流程</t>
    <phoneticPr fontId="2" type="noConversion"/>
  </si>
  <si>
    <r>
      <rPr>
        <sz val="11"/>
        <rFont val="宋体"/>
        <family val="1"/>
        <charset val="134"/>
      </rPr>
      <t>无人机虚拟仿真训练平台</t>
    </r>
    <r>
      <rPr>
        <sz val="11"/>
        <rFont val="Times New Roman"/>
        <family val="1"/>
      </rPr>
      <t>-testcase-010</t>
    </r>
    <phoneticPr fontId="22" type="noConversion"/>
  </si>
  <si>
    <t>用户已登录
已完成任务类型选择：定点悬停
无人机初始状态初始化成功</t>
    <phoneticPr fontId="2" type="noConversion"/>
  </si>
  <si>
    <r>
      <t>1.</t>
    </r>
    <r>
      <rPr>
        <sz val="12"/>
        <rFont val="宋体"/>
        <family val="1"/>
        <charset val="134"/>
      </rPr>
      <t>选择任务类型：定点悬浮
2.点击“开始任务”
3.通过遥杆/键盘输入保持无人机在指定坐标点定点悬停
4.持续观察实时界面</t>
    </r>
    <phoneticPr fontId="2" type="noConversion"/>
  </si>
  <si>
    <t>无人机进入悬停模式，可稳定保持在指定区域
实时数据显示刷新正常
任务成功结束后，系统自动保存飞行数据并提示“任务完成”</t>
    <phoneticPr fontId="2" type="noConversion"/>
  </si>
  <si>
    <r>
      <rPr>
        <sz val="11"/>
        <rFont val="宋体"/>
        <family val="1"/>
        <charset val="134"/>
      </rPr>
      <t>无人机虚拟仿真训练平台</t>
    </r>
    <r>
      <rPr>
        <sz val="11"/>
        <rFont val="Times New Roman"/>
        <family val="1"/>
      </rPr>
      <t>-testcase-011</t>
    </r>
    <phoneticPr fontId="22" type="noConversion"/>
  </si>
  <si>
    <t>测试手动控制下的
路径跟踪流程</t>
    <phoneticPr fontId="2" type="noConversion"/>
  </si>
  <si>
    <t>用户已成功登录
已选择任务类型：路径点跟踪
路径点序列加载成功</t>
    <phoneticPr fontId="2" type="noConversion"/>
  </si>
  <si>
    <r>
      <t>1.</t>
    </r>
    <r>
      <rPr>
        <sz val="12"/>
        <rFont val="宋体"/>
        <family val="1"/>
        <charset val="134"/>
      </rPr>
      <t>选择任务类型：路径跟踪
2.点击“开始任务”
3.通过遥杆/键盘输入控制无人机飞行，逐个通过路径点
4.持续观察实时界面</t>
    </r>
    <phoneticPr fontId="2" type="noConversion"/>
  </si>
  <si>
    <t>无人机在手动操作下可完成路径
实时数据显示刷新正常
任务成功结束后，系统自动保存飞行数据并提示“任务完成”</t>
    <phoneticPr fontId="2" type="noConversion"/>
  </si>
  <si>
    <t>测试手动控制下的
避障航线流程</t>
    <phoneticPr fontId="2" type="noConversion"/>
  </si>
  <si>
    <t>用户已成功登录
已选择任务类型：避障航线
障碍物模型已经加载</t>
    <phoneticPr fontId="2" type="noConversion"/>
  </si>
  <si>
    <r>
      <t>1.</t>
    </r>
    <r>
      <rPr>
        <sz val="12"/>
        <rFont val="宋体"/>
        <family val="1"/>
        <charset val="134"/>
      </rPr>
      <t>选择任务类型：路径跟踪
2.点击“开始任务”
3.通过遥杆/键盘输入控制无人机飞行，逐个绕过障碍物抵达终点
4.持续观察实时界面</t>
    </r>
    <phoneticPr fontId="2" type="noConversion"/>
  </si>
  <si>
    <t>无人机在手动操作下可完成任务
实时数据显示刷新正常
任务成功结束后，系统自动保存飞行数据并提示“任务完成”</t>
    <phoneticPr fontId="2" type="noConversion"/>
  </si>
  <si>
    <r>
      <rPr>
        <sz val="11"/>
        <rFont val="宋体"/>
        <family val="1"/>
        <charset val="134"/>
      </rPr>
      <t>无人机虚拟仿真训练平台</t>
    </r>
    <r>
      <rPr>
        <sz val="11"/>
        <rFont val="Times New Roman"/>
        <family val="1"/>
      </rPr>
      <t>-testcase-012</t>
    </r>
    <phoneticPr fontId="22" type="noConversion"/>
  </si>
  <si>
    <r>
      <rPr>
        <sz val="11"/>
        <rFont val="宋体"/>
        <family val="1"/>
        <charset val="134"/>
      </rPr>
      <t>无人机虚拟仿真训练平台</t>
    </r>
    <r>
      <rPr>
        <sz val="11"/>
        <rFont val="Times New Roman"/>
        <family val="1"/>
      </rPr>
      <t>-testcase-013</t>
    </r>
    <phoneticPr fontId="22" type="noConversion"/>
  </si>
  <si>
    <r>
      <t>1.</t>
    </r>
    <r>
      <rPr>
        <sz val="12"/>
        <rFont val="宋体"/>
        <family val="1"/>
        <charset val="134"/>
      </rPr>
      <t>选择任务类型：路径跟踪
2.点击“开始任务”
3.通过遥杆/键盘输入控制无人机飞行，主动撞向障碍物
4.持续观察实时界面</t>
    </r>
    <phoneticPr fontId="2" type="noConversion"/>
  </si>
  <si>
    <t>状态显示</t>
  </si>
  <si>
    <r>
      <rPr>
        <sz val="11"/>
        <rFont val="宋体"/>
        <family val="1"/>
        <charset val="134"/>
      </rPr>
      <t>无人机虚拟仿真训练平台</t>
    </r>
    <r>
      <rPr>
        <sz val="11"/>
        <rFont val="Times New Roman"/>
        <family val="1"/>
      </rPr>
      <t>-testcase-014</t>
    </r>
    <phoneticPr fontId="22" type="noConversion"/>
  </si>
  <si>
    <t>测试无人机实时姿
态、速度、任务状
态是否正确更新</t>
    <phoneticPr fontId="2" type="noConversion"/>
  </si>
  <si>
    <t>用户已成功登录
已选择任务类型：路径点跟踪
观察界面是否同步更新数据</t>
    <phoneticPr fontId="2" type="noConversion"/>
  </si>
  <si>
    <r>
      <t>1.</t>
    </r>
    <r>
      <rPr>
        <sz val="12"/>
        <rFont val="宋体"/>
        <family val="1"/>
        <charset val="134"/>
      </rPr>
      <t>手动控制无人机运动，调整无人机姿态和速度
2.控制无人机至第一个路径点
3.观察界面是否同步更新数据</t>
    </r>
    <phoneticPr fontId="2" type="noConversion"/>
  </si>
  <si>
    <t>数据记录</t>
  </si>
  <si>
    <t>测试任务结束后是否自动保存飞行数据</t>
    <phoneticPr fontId="2" type="noConversion"/>
  </si>
  <si>
    <r>
      <rPr>
        <sz val="11"/>
        <rFont val="宋体"/>
        <family val="1"/>
        <charset val="134"/>
      </rPr>
      <t>无人机虚拟仿真训练平台</t>
    </r>
    <r>
      <rPr>
        <sz val="11"/>
        <rFont val="Times New Roman"/>
        <family val="1"/>
      </rPr>
      <t>-testcase-015</t>
    </r>
    <phoneticPr fontId="22" type="noConversion"/>
  </si>
  <si>
    <t>用户已成功登录
已选择任务类型：路径点跟踪</t>
    <phoneticPr fontId="2" type="noConversion"/>
  </si>
  <si>
    <t>姿态角、速度、加速度实时刷新
数据无明显延迟或卡顿
到达路径点正确更新任务信息
显示结果与实际飞行行为一致</t>
    <phoneticPr fontId="2" type="noConversion"/>
  </si>
  <si>
    <r>
      <t>1.</t>
    </r>
    <r>
      <rPr>
        <sz val="12"/>
        <rFont val="宋体"/>
        <family val="1"/>
        <charset val="134"/>
      </rPr>
      <t>完成训练任务</t>
    </r>
    <r>
      <rPr>
        <sz val="12"/>
        <rFont val="Times New Roman"/>
        <family val="1"/>
      </rPr>
      <t xml:space="preserve">
2.</t>
    </r>
    <r>
      <rPr>
        <sz val="12"/>
        <rFont val="宋体"/>
        <family val="1"/>
        <charset val="134"/>
      </rPr>
      <t>等待系统保存数据</t>
    </r>
    <phoneticPr fontId="2" type="noConversion"/>
  </si>
  <si>
    <t>正确保存该次任务数据
显示提示：“任务数据已保存”</t>
    <phoneticPr fontId="2" type="noConversion"/>
  </si>
  <si>
    <t>异常处理</t>
    <phoneticPr fontId="2" type="noConversion"/>
  </si>
  <si>
    <t>测试无人机坠毁时系统的异常记录与提示</t>
    <phoneticPr fontId="2" type="noConversion"/>
  </si>
  <si>
    <t>系统提示：“无人机坠毁，请再次尝试”
坠毁信息写入日志
返回避障航线任务最初状态</t>
    <phoneticPr fontId="2" type="noConversion"/>
  </si>
  <si>
    <t>摇杆操控</t>
  </si>
  <si>
    <t>用户已进入飞行训
练界面
手柄连接正常
无人机处于初始稳定状态</t>
    <phoneticPr fontId="2" type="noConversion"/>
  </si>
  <si>
    <t>测试左摇杆操作对无人机姿态的影响</t>
    <phoneticPr fontId="2" type="noConversion"/>
  </si>
  <si>
    <r>
      <t>1.</t>
    </r>
    <r>
      <rPr>
        <sz val="12"/>
        <rFont val="宋体"/>
        <family val="1"/>
        <charset val="134"/>
      </rPr>
      <t>前推左摇杆
2.后推左摇杆
3.左推左摇杆
4.右推左摇杆</t>
    </r>
    <phoneticPr fontId="2" type="noConversion"/>
  </si>
  <si>
    <r>
      <t>1.</t>
    </r>
    <r>
      <rPr>
        <sz val="12"/>
        <rFont val="宋体"/>
        <family val="1"/>
        <charset val="134"/>
      </rPr>
      <t xml:space="preserve">前推时无人机上升
</t>
    </r>
    <r>
      <rPr>
        <sz val="12"/>
        <rFont val="Times New Roman"/>
        <family val="1"/>
      </rPr>
      <t>2.</t>
    </r>
    <r>
      <rPr>
        <sz val="12"/>
        <rFont val="宋体"/>
        <family val="1"/>
        <charset val="134"/>
      </rPr>
      <t>后推时无人机下降
3.左推时无人机向左转向
4.右推时无人机向右转向</t>
    </r>
    <phoneticPr fontId="2" type="noConversion"/>
  </si>
  <si>
    <r>
      <rPr>
        <sz val="11"/>
        <rFont val="宋体"/>
        <family val="1"/>
        <charset val="134"/>
      </rPr>
      <t>无人机虚拟仿真训练平台</t>
    </r>
    <r>
      <rPr>
        <sz val="11"/>
        <rFont val="Times New Roman"/>
        <family val="1"/>
      </rPr>
      <t>-testcase-016</t>
    </r>
    <phoneticPr fontId="22" type="noConversion"/>
  </si>
  <si>
    <r>
      <rPr>
        <sz val="11"/>
        <rFont val="宋体"/>
        <family val="1"/>
        <charset val="134"/>
      </rPr>
      <t>无人机虚拟仿真训练平台</t>
    </r>
    <r>
      <rPr>
        <sz val="11"/>
        <rFont val="Times New Roman"/>
        <family val="1"/>
      </rPr>
      <t>-testcase-017</t>
    </r>
    <phoneticPr fontId="22" type="noConversion"/>
  </si>
  <si>
    <t>测试右摇杆操作对无人机姿态的影响</t>
    <phoneticPr fontId="2" type="noConversion"/>
  </si>
  <si>
    <r>
      <t>1.</t>
    </r>
    <r>
      <rPr>
        <sz val="12"/>
        <rFont val="宋体"/>
        <family val="1"/>
        <charset val="134"/>
      </rPr>
      <t>前推右摇杆
2.后推右摇杆
3.左推右摇杆
4.右推右摇杆</t>
    </r>
    <phoneticPr fontId="2" type="noConversion"/>
  </si>
  <si>
    <r>
      <t>1.</t>
    </r>
    <r>
      <rPr>
        <sz val="12"/>
        <rFont val="宋体"/>
        <family val="1"/>
        <charset val="134"/>
      </rPr>
      <t xml:space="preserve">前推时无人机前进
</t>
    </r>
    <r>
      <rPr>
        <sz val="12"/>
        <rFont val="Times New Roman"/>
        <family val="1"/>
      </rPr>
      <t>2.</t>
    </r>
    <r>
      <rPr>
        <sz val="12"/>
        <rFont val="宋体"/>
        <family val="1"/>
        <charset val="134"/>
      </rPr>
      <t>后推时无人机后退
3.左推时无人机向左移动
4.右推时无人机向右移动</t>
    </r>
    <phoneticPr fontId="2" type="noConversion"/>
  </si>
  <si>
    <t>键盘操控</t>
    <phoneticPr fontId="2" type="noConversion"/>
  </si>
  <si>
    <t>测试键盘操作对无人机姿态和运动的影响</t>
    <phoneticPr fontId="2" type="noConversion"/>
  </si>
  <si>
    <t>用户已进入飞行训
练界面
键盘映射已配置
无人机处于初始稳定状态</t>
    <phoneticPr fontId="2" type="noConversion"/>
  </si>
  <si>
    <r>
      <t>1.</t>
    </r>
    <r>
      <rPr>
        <sz val="12"/>
        <rFont val="宋体"/>
        <family val="1"/>
        <charset val="134"/>
      </rPr>
      <t>按下j键
2.按下k键
3.按下q键
4.按下e键</t>
    </r>
    <phoneticPr fontId="2" type="noConversion"/>
  </si>
  <si>
    <r>
      <t>1.</t>
    </r>
    <r>
      <rPr>
        <sz val="12"/>
        <rFont val="宋体"/>
        <family val="1"/>
        <charset val="134"/>
      </rPr>
      <t>按下w键
2.按下s键
3.按下a键
4.按下d键</t>
    </r>
    <phoneticPr fontId="2" type="noConversion"/>
  </si>
  <si>
    <t>设备连接</t>
    <phoneticPr fontId="2" type="noConversion"/>
  </si>
  <si>
    <r>
      <rPr>
        <sz val="11"/>
        <rFont val="宋体"/>
        <family val="1"/>
        <charset val="134"/>
      </rPr>
      <t>无人机虚拟仿真训练平台</t>
    </r>
    <r>
      <rPr>
        <sz val="11"/>
        <rFont val="Times New Roman"/>
        <family val="1"/>
      </rPr>
      <t>-testcase-018</t>
    </r>
    <phoneticPr fontId="22" type="noConversion"/>
  </si>
  <si>
    <r>
      <rPr>
        <sz val="11"/>
        <rFont val="宋体"/>
        <family val="1"/>
        <charset val="134"/>
      </rPr>
      <t>无人机虚拟仿真训练平台</t>
    </r>
    <r>
      <rPr>
        <sz val="11"/>
        <rFont val="Times New Roman"/>
        <family val="1"/>
      </rPr>
      <t>-testcase-019</t>
    </r>
    <phoneticPr fontId="22" type="noConversion"/>
  </si>
  <si>
    <t>测试摇杆断连时系
统是否能暂停飞行
并提示用户</t>
    <phoneticPr fontId="2" type="noConversion"/>
  </si>
  <si>
    <t>摇杆正常控制中</t>
    <phoneticPr fontId="2" type="noConversion"/>
  </si>
  <si>
    <r>
      <t>1.</t>
    </r>
    <r>
      <rPr>
        <sz val="12"/>
        <rFont val="宋体"/>
        <family val="1"/>
        <charset val="134"/>
      </rPr>
      <t>在飞行过程中拔掉摇杆
2.观察飞行状态</t>
    </r>
    <phoneticPr fontId="2" type="noConversion"/>
  </si>
  <si>
    <r>
      <t>1.</t>
    </r>
    <r>
      <rPr>
        <sz val="12"/>
        <rFont val="宋体"/>
        <family val="1"/>
        <charset val="134"/>
      </rPr>
      <t>无人机进入自动悬停
2.显示提示：“控制设备断开，请检查链接”</t>
    </r>
    <phoneticPr fontId="2" type="noConversion"/>
  </si>
  <si>
    <r>
      <rPr>
        <sz val="11"/>
        <rFont val="宋体"/>
        <family val="1"/>
        <charset val="134"/>
      </rPr>
      <t>无人机虚拟仿真训练平台</t>
    </r>
    <r>
      <rPr>
        <sz val="11"/>
        <rFont val="Times New Roman"/>
        <family val="1"/>
      </rPr>
      <t>-testcase-020</t>
    </r>
    <phoneticPr fontId="22" type="noConversion"/>
  </si>
  <si>
    <r>
      <rPr>
        <sz val="11"/>
        <rFont val="宋体"/>
        <family val="1"/>
        <charset val="134"/>
      </rPr>
      <t>无人机虚拟仿真训练平台</t>
    </r>
    <r>
      <rPr>
        <sz val="11"/>
        <rFont val="Times New Roman"/>
        <family val="1"/>
      </rPr>
      <t>-testcase-021</t>
    </r>
    <phoneticPr fontId="22" type="noConversion"/>
  </si>
  <si>
    <t>自动保护</t>
    <phoneticPr fontId="2" type="noConversion"/>
  </si>
  <si>
    <t>测试长时间无输入时系统是否执行自动悬停</t>
    <phoneticPr fontId="2" type="noConversion"/>
  </si>
  <si>
    <t>无人机处于飞行中</t>
    <phoneticPr fontId="2" type="noConversion"/>
  </si>
  <si>
    <r>
      <t>1.</t>
    </r>
    <r>
      <rPr>
        <sz val="12"/>
        <rFont val="宋体"/>
        <family val="1"/>
        <charset val="134"/>
      </rPr>
      <t>无人机进入自动悬停
2.无异常漂移现象</t>
    </r>
    <phoneticPr fontId="2" type="noConversion"/>
  </si>
  <si>
    <r>
      <t>1.</t>
    </r>
    <r>
      <rPr>
        <sz val="12"/>
        <rFont val="宋体"/>
        <family val="1"/>
        <charset val="134"/>
      </rPr>
      <t>停止所有控制输入</t>
    </r>
    <r>
      <rPr>
        <sz val="12"/>
        <rFont val="Times New Roman"/>
        <family val="1"/>
      </rPr>
      <t xml:space="preserve">
</t>
    </r>
    <r>
      <rPr>
        <sz val="12"/>
        <rFont val="宋体"/>
        <family val="1"/>
        <charset val="134"/>
      </rPr>
      <t>2.等待系统设定时间</t>
    </r>
    <r>
      <rPr>
        <sz val="12"/>
        <rFont val="Times New Roman"/>
        <family val="1"/>
      </rPr>
      <t xml:space="preserve">
3.</t>
    </r>
    <r>
      <rPr>
        <sz val="12"/>
        <rFont val="宋体"/>
        <family val="1"/>
        <charset val="134"/>
      </rPr>
      <t>观察飞行状态</t>
    </r>
    <phoneticPr fontId="2" type="noConversion"/>
  </si>
  <si>
    <r>
      <rPr>
        <sz val="11"/>
        <rFont val="宋体"/>
        <family val="1"/>
        <charset val="134"/>
      </rPr>
      <t>无人机虚拟仿真训练平台</t>
    </r>
    <r>
      <rPr>
        <sz val="11"/>
        <rFont val="Times New Roman"/>
        <family val="1"/>
      </rPr>
      <t>-testcase-022</t>
    </r>
    <phoneticPr fontId="22" type="noConversion"/>
  </si>
  <si>
    <t>终止训练</t>
    <phoneticPr fontId="2" type="noConversion"/>
  </si>
  <si>
    <t>测试飞手主动结束任务时系统处理</t>
    <phoneticPr fontId="2" type="noConversion"/>
  </si>
  <si>
    <t>无人机处于训练任务中</t>
    <phoneticPr fontId="2" type="noConversion"/>
  </si>
  <si>
    <r>
      <t>1.</t>
    </r>
    <r>
      <rPr>
        <sz val="12"/>
        <rFont val="宋体"/>
        <family val="1"/>
        <charset val="134"/>
      </rPr>
      <t>点击“结束训练”</t>
    </r>
    <r>
      <rPr>
        <sz val="12"/>
        <rFont val="Times New Roman"/>
        <family val="1"/>
      </rPr>
      <t xml:space="preserve">
</t>
    </r>
    <phoneticPr fontId="2" type="noConversion"/>
  </si>
  <si>
    <r>
      <t>1.</t>
    </r>
    <r>
      <rPr>
        <sz val="12"/>
        <rFont val="宋体"/>
        <family val="1"/>
        <charset val="134"/>
      </rPr>
      <t>仿真立即暂停
2.回到训练任务选择界面</t>
    </r>
    <phoneticPr fontId="2" type="noConversion"/>
  </si>
  <si>
    <r>
      <rPr>
        <sz val="11"/>
        <rFont val="宋体"/>
        <family val="1"/>
        <charset val="134"/>
      </rPr>
      <t>无人机虚拟仿真训练平台</t>
    </r>
    <r>
      <rPr>
        <sz val="11"/>
        <rFont val="Times New Roman"/>
        <family val="1"/>
      </rPr>
      <t>-testcase-023</t>
    </r>
    <phoneticPr fontId="22" type="noConversion"/>
  </si>
  <si>
    <t>输入切换</t>
    <phoneticPr fontId="2" type="noConversion"/>
  </si>
  <si>
    <t>测试设备切换时无人机控制是否正常</t>
    <phoneticPr fontId="2" type="noConversion"/>
  </si>
  <si>
    <t>低</t>
    <phoneticPr fontId="2" type="noConversion"/>
  </si>
  <si>
    <t>无人机处于训练任务中
摇杆与键盘均可用</t>
    <phoneticPr fontId="2" type="noConversion"/>
  </si>
  <si>
    <r>
      <t>1.</t>
    </r>
    <r>
      <rPr>
        <sz val="12"/>
        <rFont val="宋体"/>
        <family val="1"/>
        <charset val="134"/>
      </rPr>
      <t xml:space="preserve">使用键盘控制无人机
2.连接手柄并操纵无人机运动
</t>
    </r>
    <r>
      <rPr>
        <sz val="12"/>
        <rFont val="Times New Roman"/>
        <family val="1"/>
      </rPr>
      <t xml:space="preserve">
</t>
    </r>
    <phoneticPr fontId="2" type="noConversion"/>
  </si>
  <si>
    <r>
      <t>1.</t>
    </r>
    <r>
      <rPr>
        <sz val="12"/>
        <rFont val="宋体"/>
        <family val="1"/>
        <charset val="134"/>
      </rPr>
      <t>控制权平稳切换
2.不出现瞬间姿态跳变</t>
    </r>
    <phoneticPr fontId="2" type="noConversion"/>
  </si>
  <si>
    <t>可用性（短时启动稳定性）</t>
    <phoneticPr fontId="22" type="noConversion"/>
  </si>
  <si>
    <t>可靠性测试</t>
  </si>
  <si>
    <t>连续启动与场景加载稳定性</t>
    <phoneticPr fontId="22" type="noConversion"/>
  </si>
  <si>
    <t>构建已安装，场景资源完整。</t>
    <phoneticPr fontId="22" type="noConversion"/>
  </si>
  <si>
    <r>
      <rPr>
        <sz val="11"/>
        <rFont val="微软雅黑"/>
        <family val="1"/>
        <charset val="134"/>
      </rPr>
      <t>连续重启客户端</t>
    </r>
    <r>
      <rPr>
        <sz val="11"/>
        <rFont val="Times New Roman"/>
        <family val="1"/>
      </rPr>
      <t xml:space="preserve"> 50 </t>
    </r>
    <r>
      <rPr>
        <sz val="11"/>
        <rFont val="微软雅黑"/>
        <family val="1"/>
        <charset val="134"/>
      </rPr>
      <t>次；每次启动后加载随机场景并运行</t>
    </r>
    <r>
      <rPr>
        <sz val="11"/>
        <rFont val="Times New Roman"/>
        <family val="1"/>
      </rPr>
      <t xml:space="preserve"> 30s</t>
    </r>
    <r>
      <rPr>
        <sz val="11"/>
        <rFont val="微软雅黑"/>
        <family val="1"/>
        <charset val="134"/>
      </rPr>
      <t>。</t>
    </r>
    <phoneticPr fontId="22" type="noConversion"/>
  </si>
  <si>
    <t>每次成功进入主界面并加载场景；无崩溃；启动时间 ≤ 10s。</t>
    <phoneticPr fontId="22" type="noConversion"/>
  </si>
  <si>
    <t>帧率与响应延迟</t>
    <phoneticPr fontId="22" type="noConversion"/>
  </si>
  <si>
    <t>性能测试</t>
  </si>
  <si>
    <r>
      <rPr>
        <sz val="11"/>
        <rFont val="宋体"/>
        <family val="3"/>
        <charset val="134"/>
      </rPr>
      <t>标准场景</t>
    </r>
    <r>
      <rPr>
        <sz val="11"/>
        <rFont val="Times New Roman"/>
        <family val="3"/>
      </rPr>
      <t xml:space="preserve"> 60 FPS </t>
    </r>
    <r>
      <rPr>
        <sz val="11"/>
        <rFont val="等线"/>
        <family val="3"/>
        <charset val="134"/>
      </rPr>
      <t>与输入延迟验证</t>
    </r>
    <phoneticPr fontId="22" type="noConversion"/>
  </si>
  <si>
    <t>标准训练场景加载完成。</t>
    <phoneticPr fontId="22" type="noConversion"/>
  </si>
  <si>
    <r>
      <rPr>
        <sz val="11"/>
        <rFont val="等线"/>
        <family val="1"/>
        <charset val="134"/>
      </rPr>
      <t>运行场景</t>
    </r>
    <r>
      <rPr>
        <sz val="11"/>
        <rFont val="Times New Roman"/>
        <family val="1"/>
      </rPr>
      <t xml:space="preserve"> 10 </t>
    </r>
    <r>
      <rPr>
        <sz val="11"/>
        <rFont val="等线"/>
        <family val="1"/>
        <charset val="134"/>
      </rPr>
      <t>分钟，记录</t>
    </r>
    <r>
      <rPr>
        <sz val="11"/>
        <rFont val="Times New Roman"/>
        <family val="1"/>
      </rPr>
      <t xml:space="preserve"> FPS </t>
    </r>
    <r>
      <rPr>
        <sz val="11"/>
        <rFont val="等线"/>
        <family val="1"/>
        <charset val="134"/>
      </rPr>
      <t>与控制输入到响应延迟。</t>
    </r>
    <phoneticPr fontId="22" type="noConversion"/>
  </si>
  <si>
    <t>平均 FPS ≥ 60；输入响应延迟 ≤ 50 ms。</t>
    <phoneticPr fontId="22" type="noConversion"/>
  </si>
  <si>
    <t>导出与评分耗时</t>
    <phoneticPr fontId="22" type="noConversion"/>
  </si>
  <si>
    <t>大量数据导出与评分性能</t>
    <phoneticPr fontId="22" type="noConversion"/>
  </si>
  <si>
    <t>完整飞行轨迹约 100k 数据点。</t>
    <phoneticPr fontId="22" type="noConversion"/>
  </si>
  <si>
    <t>结束任务并触发导出与评分计算。</t>
    <phoneticPr fontId="22" type="noConversion"/>
  </si>
  <si>
    <t>评分生成 ≤ 3s；导出 ≤ 5s。</t>
    <phoneticPr fontId="22" type="noConversion"/>
  </si>
  <si>
    <t>操作系统兼容性</t>
    <phoneticPr fontId="22" type="noConversion"/>
  </si>
  <si>
    <t>兼容性测试</t>
  </si>
  <si>
    <t>Windows 10 与 11 运行验证</t>
    <phoneticPr fontId="22" type="noConversion"/>
  </si>
  <si>
    <t>不同 Windows 环境准备就绪。</t>
    <phoneticPr fontId="22" type="noConversion"/>
  </si>
  <si>
    <t>在 Windows 10/11 两台机器上安装并运行相同场景。</t>
    <phoneticPr fontId="22" type="noConversion"/>
  </si>
  <si>
    <t>功能一致；无平台特有崩溃。</t>
    <phoneticPr fontId="22" type="noConversion"/>
  </si>
  <si>
    <t>外设兼容性</t>
    <phoneticPr fontId="22" type="noConversion"/>
  </si>
  <si>
    <t>常见摇杆与手柄识别测试</t>
    <phoneticPr fontId="22" type="noConversion"/>
  </si>
  <si>
    <t>多款手柄/摇杆可用。</t>
    <phoneticPr fontId="22" type="noConversion"/>
  </si>
  <si>
    <t>依次连接并校验输入映射与响应。</t>
    <phoneticPr fontId="22" type="noConversion"/>
  </si>
  <si>
    <t>自动识别；控制映射正确；无丢包。</t>
    <phoneticPr fontId="22" type="noConversion"/>
  </si>
  <si>
    <t>系统成功验证身份，进入主界面</t>
  </si>
  <si>
    <t>Y</t>
  </si>
  <si>
    <t>提示两次密码不一致，暂时并未设计到邮箱</t>
    <phoneticPr fontId="22" type="noConversion"/>
  </si>
  <si>
    <r>
      <rPr>
        <sz val="12"/>
        <rFont val="宋体"/>
        <family val="1"/>
        <charset val="134"/>
      </rPr>
      <t>平均</t>
    </r>
    <r>
      <rPr>
        <sz val="12"/>
        <rFont val="Times New Roman"/>
        <family val="1"/>
        <charset val="134"/>
      </rPr>
      <t>FPS</t>
    </r>
    <r>
      <rPr>
        <sz val="12"/>
        <rFont val="宋体"/>
        <family val="1"/>
        <charset val="134"/>
      </rPr>
      <t>为110，输入响应延迟均小于50</t>
    </r>
    <r>
      <rPr>
        <sz val="12"/>
        <rFont val="Times New Roman"/>
        <family val="1"/>
        <charset val="134"/>
      </rPr>
      <t>ms</t>
    </r>
    <phoneticPr fontId="2" type="noConversion"/>
  </si>
  <si>
    <r>
      <rPr>
        <sz val="11"/>
        <rFont val="宋体"/>
        <family val="3"/>
        <charset val="134"/>
      </rPr>
      <t>基于三维场景重建的无人机模拟器-</t>
    </r>
    <r>
      <rPr>
        <sz val="11"/>
        <rFont val="SimSun-ExtB"/>
        <family val="3"/>
        <charset val="134"/>
      </rPr>
      <t>testcase-024</t>
    </r>
    <phoneticPr fontId="22" type="noConversion"/>
  </si>
  <si>
    <t>2026.1.6</t>
    <phoneticPr fontId="2" type="noConversion"/>
  </si>
  <si>
    <t>1.10</t>
    <phoneticPr fontId="2" type="noConversion"/>
  </si>
  <si>
    <t>完成测试</t>
    <phoneticPr fontId="2" type="noConversion"/>
  </si>
  <si>
    <t>洪旸</t>
    <phoneticPr fontId="2" type="noConversion"/>
  </si>
  <si>
    <r>
      <rPr>
        <sz val="11"/>
        <rFont val="等线"/>
        <family val="1"/>
        <charset val="134"/>
      </rPr>
      <t>无人机虚拟仿真训练平台</t>
    </r>
    <r>
      <rPr>
        <sz val="11"/>
        <rFont val="Times New Roman"/>
        <family val="1"/>
      </rPr>
      <t>--testcase-025</t>
    </r>
    <phoneticPr fontId="22" type="noConversion"/>
  </si>
  <si>
    <r>
      <rPr>
        <sz val="11"/>
        <rFont val="等线"/>
        <family val="1"/>
        <charset val="134"/>
      </rPr>
      <t>无人机虚拟仿真训练平台</t>
    </r>
    <r>
      <rPr>
        <sz val="11"/>
        <rFont val="Times New Roman"/>
        <family val="1"/>
      </rPr>
      <t>--testcase-026</t>
    </r>
    <phoneticPr fontId="22" type="noConversion"/>
  </si>
  <si>
    <r>
      <rPr>
        <sz val="11"/>
        <rFont val="宋体"/>
        <family val="1"/>
        <charset val="134"/>
      </rPr>
      <t>无人机虚拟仿真训练平台</t>
    </r>
    <r>
      <rPr>
        <sz val="11"/>
        <rFont val="Times New Roman"/>
        <family val="1"/>
      </rPr>
      <t>--testcase-027</t>
    </r>
    <phoneticPr fontId="22" type="noConversion"/>
  </si>
  <si>
    <r>
      <rPr>
        <sz val="11"/>
        <rFont val="宋体"/>
        <family val="1"/>
        <charset val="134"/>
      </rPr>
      <t>无人机虚拟仿真训练平台</t>
    </r>
    <r>
      <rPr>
        <sz val="11"/>
        <rFont val="Times New Roman"/>
        <family val="1"/>
      </rPr>
      <t>--testcase-028</t>
    </r>
    <phoneticPr fontId="22" type="noConversion"/>
  </si>
  <si>
    <r>
      <rPr>
        <sz val="12"/>
        <rFont val="宋体"/>
        <family val="1"/>
        <charset val="134"/>
      </rPr>
      <t>无人机虚拟仿真训练平台</t>
    </r>
    <r>
      <rPr>
        <sz val="12"/>
        <rFont val="Times New Roman"/>
        <family val="1"/>
      </rPr>
      <t>--testcase-029</t>
    </r>
    <phoneticPr fontId="2" type="noConversion"/>
  </si>
  <si>
    <t>部署</t>
    <phoneticPr fontId="2" type="noConversion"/>
  </si>
  <si>
    <t>部署测试</t>
  </si>
  <si>
    <t>可部署使用</t>
    <phoneticPr fontId="2" type="noConversion"/>
  </si>
  <si>
    <t>在测试用机上完整运行所有流程</t>
    <phoneticPr fontId="2" type="noConversion"/>
  </si>
  <si>
    <t>所有功能正常使用且无异常反应</t>
  </si>
  <si>
    <t>所有功能正常使用且无异常反应</t>
    <phoneticPr fontId="2" type="noConversion"/>
  </si>
  <si>
    <t>用户已登录
场景加载模块支持风雨渲染</t>
    <phoneticPr fontId="2" type="noConversion"/>
  </si>
  <si>
    <r>
      <t>1.</t>
    </r>
    <r>
      <rPr>
        <sz val="12"/>
        <rFont val="宋体"/>
        <family val="1"/>
        <charset val="134"/>
      </rPr>
      <t>选择地形类型：林地
2.设置天气：雨天
3.点击“开始训练”</t>
    </r>
    <phoneticPr fontId="2" type="noConversion"/>
  </si>
  <si>
    <t>场景成功加载
，正确呈现雨天效果
成功进入训练界面</t>
    <phoneticPr fontId="2" type="noConversion"/>
  </si>
  <si>
    <t>N</t>
  </si>
  <si>
    <t>目前暂未开发相应功能，会在后期补上</t>
    <phoneticPr fontId="2" type="noConversion"/>
  </si>
  <si>
    <t>仅记录碰撞信息，而没有系统提示</t>
    <phoneticPr fontId="2" type="noConversion"/>
  </si>
  <si>
    <r>
      <t>1.</t>
    </r>
    <r>
      <rPr>
        <sz val="12"/>
        <rFont val="宋体"/>
        <family val="1"/>
        <charset val="134"/>
      </rPr>
      <t>无人机进入自动悬停</t>
    </r>
    <phoneticPr fontId="2"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</si>
</sst>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76" formatCode="yyyy\.mm\.dd"/>
  </numFmts>
  <fonts count="42">
    <font>
      <sz val="12"/>
      <name val="宋体"/>
      <charset val="134"/>
    </font>
    <font>
      <sz val="12"/>
      <name val="宋体"/>
      <charset val="134"/>
    </font>
    <font>
      <sz val="9"/>
      <name val="宋体"/>
      <charset val="134"/>
    </font>
    <font>
      <sz val="10.5"/>
      <name val="宋体"/>
      <charset val="134"/>
    </font>
    <font>
      <sz val="12"/>
      <name val="Times New Roman"/>
      <family val="1"/>
    </font>
    <font>
      <sz val="12"/>
      <color indexed="48"/>
      <name val="Times New Roman"/>
      <family val="1"/>
    </font>
    <font>
      <sz val="20"/>
      <name val="华文细黑"/>
      <charset val="134"/>
    </font>
    <font>
      <b/>
      <sz val="20"/>
      <name val="宋体"/>
      <charset val="134"/>
    </font>
    <font>
      <b/>
      <sz val="20"/>
      <name val="Times New Roman"/>
      <family val="1"/>
    </font>
    <font>
      <sz val="11"/>
      <name val="Times New Roman"/>
      <family val="1"/>
    </font>
    <font>
      <u/>
      <sz val="12"/>
      <color indexed="12"/>
      <name val="宋体"/>
      <charset val="134"/>
    </font>
    <font>
      <u/>
      <sz val="10"/>
      <color indexed="12"/>
      <name val="宋体"/>
      <charset val="134"/>
    </font>
    <font>
      <sz val="20"/>
      <color indexed="48"/>
      <name val="华文细黑"/>
      <charset val="134"/>
    </font>
    <font>
      <sz val="10.5"/>
      <color indexed="48"/>
      <name val="Times New Roman"/>
      <family val="1"/>
    </font>
    <font>
      <sz val="12"/>
      <color indexed="48"/>
      <name val="宋体"/>
      <charset val="134"/>
    </font>
    <font>
      <sz val="12"/>
      <color indexed="62"/>
      <name val="Times New Roman"/>
      <family val="1"/>
    </font>
    <font>
      <sz val="12"/>
      <name val="宋体"/>
      <charset val="134"/>
    </font>
    <font>
      <sz val="12"/>
      <color rgb="FF3366FF"/>
      <name val="宋体"/>
      <family val="1"/>
      <charset val="134"/>
    </font>
    <font>
      <sz val="20"/>
      <color indexed="48"/>
      <name val="华文细黑"/>
      <family val="3"/>
      <charset val="134"/>
    </font>
    <font>
      <sz val="12"/>
      <name val="宋体"/>
      <family val="1"/>
      <charset val="134"/>
    </font>
    <font>
      <sz val="11"/>
      <name val="宋体"/>
      <family val="3"/>
      <charset val="134"/>
    </font>
    <font>
      <sz val="20"/>
      <color rgb="FF0066FF"/>
      <name val="华文细黑"/>
      <family val="3"/>
      <charset val="134"/>
    </font>
    <font>
      <sz val="9"/>
      <name val="宋体"/>
      <family val="3"/>
      <charset val="134"/>
    </font>
    <font>
      <sz val="12"/>
      <color theme="1"/>
      <name val="宋体"/>
      <family val="3"/>
      <charset val="134"/>
    </font>
    <font>
      <sz val="12"/>
      <color theme="1"/>
      <name val="Times New Roman"/>
      <family val="1"/>
    </font>
    <font>
      <b/>
      <sz val="12"/>
      <color theme="1"/>
      <name val="宋体"/>
      <family val="3"/>
      <charset val="134"/>
    </font>
    <font>
      <b/>
      <sz val="12"/>
      <color theme="0"/>
      <name val="Times New Roman"/>
      <family val="1"/>
    </font>
    <font>
      <b/>
      <sz val="12"/>
      <color theme="0"/>
      <name val="宋体"/>
      <family val="3"/>
      <charset val="134"/>
    </font>
    <font>
      <sz val="12"/>
      <color theme="0"/>
      <name val="Times New Roman"/>
      <family val="1"/>
    </font>
    <font>
      <sz val="10.5"/>
      <name val="宋体"/>
      <family val="3"/>
      <charset val="134"/>
    </font>
    <font>
      <b/>
      <sz val="12"/>
      <name val="宋体"/>
      <family val="3"/>
      <charset val="134"/>
    </font>
    <font>
      <sz val="12"/>
      <name val="宋体"/>
      <family val="3"/>
      <charset val="134"/>
    </font>
    <font>
      <sz val="11"/>
      <name val="宋体"/>
      <family val="1"/>
      <charset val="134"/>
    </font>
    <font>
      <sz val="11"/>
      <name val="Times New Roman"/>
      <family val="1"/>
      <charset val="134"/>
    </font>
    <font>
      <sz val="12"/>
      <name val="等线"/>
      <family val="1"/>
      <charset val="134"/>
    </font>
    <font>
      <sz val="12"/>
      <name val="Times New Roman"/>
      <family val="1"/>
      <charset val="134"/>
    </font>
    <font>
      <sz val="11"/>
      <name val="等线"/>
      <family val="3"/>
      <charset val="134"/>
    </font>
    <font>
      <sz val="11"/>
      <name val="微软雅黑"/>
      <family val="1"/>
      <charset val="134"/>
    </font>
    <font>
      <sz val="11"/>
      <name val="等线"/>
      <family val="1"/>
      <charset val="134"/>
    </font>
    <font>
      <sz val="11"/>
      <name val="Times New Roman"/>
      <family val="3"/>
    </font>
    <font>
      <sz val="11"/>
      <name val="Times New Roman"/>
      <family val="3"/>
      <charset val="134"/>
    </font>
    <font>
      <sz val="11"/>
      <name val="SimSun-ExtB"/>
      <family val="3"/>
      <charset val="134"/>
    </font>
  </fonts>
  <fills count="9">
    <fill>
      <patternFill patternType="none"/>
    </fill>
    <fill>
      <patternFill patternType="gray125"/>
    </fill>
    <fill>
      <patternFill patternType="solid">
        <fgColor indexed="9"/>
        <bgColor indexed="64"/>
      </patternFill>
    </fill>
    <fill>
      <patternFill patternType="solid">
        <fgColor indexed="27"/>
        <bgColor indexed="64"/>
      </patternFill>
    </fill>
    <fill>
      <patternFill patternType="solid">
        <fgColor indexed="47"/>
        <bgColor indexed="64"/>
      </patternFill>
    </fill>
    <fill>
      <patternFill patternType="solid">
        <fgColor theme="6" tint="0.79998168889431442"/>
        <bgColor indexed="64"/>
      </patternFill>
    </fill>
    <fill>
      <patternFill patternType="solid">
        <fgColor theme="0"/>
        <bgColor indexed="64"/>
      </patternFill>
    </fill>
    <fill>
      <patternFill patternType="solid">
        <fgColor theme="8" tint="-0.499984740745262"/>
        <bgColor indexed="64"/>
      </patternFill>
    </fill>
    <fill>
      <patternFill patternType="solid">
        <fgColor rgb="FFFFFFD5"/>
        <bgColor indexed="64"/>
      </patternFill>
    </fill>
  </fills>
  <borders count="13">
    <border>
      <left/>
      <right/>
      <top/>
      <bottom/>
      <diagonal/>
    </border>
    <border>
      <left style="thin">
        <color indexed="64"/>
      </left>
      <right style="thin">
        <color indexed="64"/>
      </right>
      <top style="thin">
        <color indexed="64"/>
      </top>
      <bottom style="thin">
        <color indexed="64"/>
      </bottom>
      <diagonal/>
    </border>
    <border>
      <left style="thin">
        <color indexed="9"/>
      </left>
      <right style="thin">
        <color indexed="9"/>
      </right>
      <top style="thin">
        <color indexed="9"/>
      </top>
      <bottom style="thin">
        <color indexed="9"/>
      </bottom>
      <diagonal/>
    </border>
    <border>
      <left/>
      <right style="thin">
        <color indexed="9"/>
      </right>
      <top style="thin">
        <color indexed="9"/>
      </top>
      <bottom style="thin">
        <color indexed="9"/>
      </bottom>
      <diagonal/>
    </border>
    <border>
      <left style="thin">
        <color indexed="9"/>
      </left>
      <right style="thin">
        <color indexed="9"/>
      </right>
      <top/>
      <bottom style="thin">
        <color indexed="9"/>
      </bottom>
      <diagonal/>
    </border>
    <border>
      <left style="thin">
        <color indexed="9"/>
      </left>
      <right/>
      <top style="thin">
        <color indexed="9"/>
      </top>
      <bottom style="thin">
        <color indexed="9"/>
      </bottom>
      <diagonal/>
    </border>
    <border>
      <left/>
      <right style="thin">
        <color indexed="9"/>
      </right>
      <top style="thin">
        <color indexed="9"/>
      </top>
      <bottom/>
      <diagonal/>
    </border>
    <border>
      <left style="thin">
        <color indexed="9"/>
      </left>
      <right/>
      <top style="thin">
        <color indexed="9"/>
      </top>
      <bottom/>
      <diagonal/>
    </border>
    <border>
      <left style="thin">
        <color indexed="9"/>
      </left>
      <right/>
      <top/>
      <bottom style="thin">
        <color indexed="9"/>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s>
  <cellStyleXfs count="2">
    <xf numFmtId="0" fontId="0" fillId="0" borderId="0">
      <alignment vertical="center"/>
    </xf>
    <xf numFmtId="0" fontId="10" fillId="0" borderId="0" applyNumberFormat="0" applyFill="0" applyBorder="0" applyAlignment="0" applyProtection="0">
      <alignment vertical="top"/>
      <protection locked="0"/>
    </xf>
  </cellStyleXfs>
  <cellXfs count="106">
    <xf numFmtId="0" fontId="0" fillId="0" borderId="0" xfId="0">
      <alignment vertical="center"/>
    </xf>
    <xf numFmtId="0" fontId="4" fillId="0" borderId="1" xfId="0" applyFont="1" applyBorder="1" applyAlignment="1">
      <alignment horizontal="left" vertical="top" wrapText="1"/>
    </xf>
    <xf numFmtId="0" fontId="4" fillId="0" borderId="0" xfId="0" applyFont="1" applyAlignment="1">
      <alignment wrapText="1"/>
    </xf>
    <xf numFmtId="0" fontId="4" fillId="3" borderId="1" xfId="0" applyFont="1" applyFill="1" applyBorder="1" applyAlignment="1">
      <alignment horizontal="center" wrapText="1"/>
    </xf>
    <xf numFmtId="0" fontId="4" fillId="3" borderId="1" xfId="0" applyFont="1" applyFill="1" applyBorder="1" applyAlignment="1">
      <alignment horizontal="centerContinuous" wrapText="1"/>
    </xf>
    <xf numFmtId="0" fontId="4" fillId="4" borderId="1" xfId="0" applyFont="1" applyFill="1" applyBorder="1" applyAlignment="1">
      <alignment horizontal="center"/>
    </xf>
    <xf numFmtId="0" fontId="0" fillId="0" borderId="2" xfId="0" applyBorder="1">
      <alignment vertical="center"/>
    </xf>
    <xf numFmtId="0" fontId="4" fillId="0" borderId="2" xfId="0" applyFont="1" applyBorder="1" applyAlignment="1"/>
    <xf numFmtId="0" fontId="0" fillId="0" borderId="3" xfId="0" applyBorder="1">
      <alignment vertical="center"/>
    </xf>
    <xf numFmtId="0" fontId="0" fillId="0" borderId="4" xfId="0" applyBorder="1">
      <alignment vertical="center"/>
    </xf>
    <xf numFmtId="0" fontId="11" fillId="0" borderId="2" xfId="1" applyFont="1" applyBorder="1" applyAlignment="1" applyProtection="1">
      <alignment vertical="center"/>
    </xf>
    <xf numFmtId="0" fontId="0" fillId="2" borderId="0" xfId="0" applyFill="1">
      <alignment vertical="center"/>
    </xf>
    <xf numFmtId="0" fontId="0" fillId="2" borderId="4" xfId="0" applyFill="1" applyBorder="1">
      <alignment vertical="center"/>
    </xf>
    <xf numFmtId="0" fontId="0" fillId="2" borderId="2" xfId="0" applyFill="1" applyBorder="1">
      <alignment vertical="center"/>
    </xf>
    <xf numFmtId="0" fontId="4" fillId="2" borderId="0" xfId="0" applyFont="1" applyFill="1" applyAlignment="1"/>
    <xf numFmtId="0" fontId="0" fillId="2" borderId="5" xfId="0" applyFill="1" applyBorder="1">
      <alignment vertical="center"/>
    </xf>
    <xf numFmtId="0" fontId="0" fillId="0" borderId="6" xfId="0" applyBorder="1">
      <alignment vertical="center"/>
    </xf>
    <xf numFmtId="0" fontId="0" fillId="2" borderId="7" xfId="0" applyFill="1" applyBorder="1">
      <alignment vertical="center"/>
    </xf>
    <xf numFmtId="0" fontId="4" fillId="0" borderId="3" xfId="0" applyFont="1" applyBorder="1" applyAlignment="1"/>
    <xf numFmtId="0" fontId="0" fillId="2" borderId="8" xfId="0" applyFill="1" applyBorder="1">
      <alignment vertical="center"/>
    </xf>
    <xf numFmtId="0" fontId="1" fillId="0" borderId="9" xfId="0" applyFont="1" applyBorder="1" applyAlignment="1">
      <alignment horizontal="center" vertical="center" wrapText="1"/>
    </xf>
    <xf numFmtId="0" fontId="1" fillId="3" borderId="1" xfId="0" applyFont="1" applyFill="1" applyBorder="1" applyAlignment="1">
      <alignment horizontal="center" vertical="center"/>
    </xf>
    <xf numFmtId="0" fontId="4" fillId="3" borderId="1" xfId="0" applyFont="1" applyFill="1" applyBorder="1" applyAlignment="1">
      <alignment horizontal="center" vertical="center"/>
    </xf>
    <xf numFmtId="10" fontId="4" fillId="4" borderId="1" xfId="0" applyNumberFormat="1" applyFont="1" applyFill="1" applyBorder="1" applyAlignment="1">
      <alignment horizontal="center"/>
    </xf>
    <xf numFmtId="49" fontId="5" fillId="0" borderId="9" xfId="0" applyNumberFormat="1" applyFont="1" applyBorder="1" applyAlignment="1">
      <alignment horizontal="center" vertical="center" wrapText="1"/>
    </xf>
    <xf numFmtId="14" fontId="13" fillId="0" borderId="1" xfId="0" applyNumberFormat="1" applyFont="1" applyBorder="1" applyAlignment="1">
      <alignment horizontal="center" vertical="center" wrapText="1"/>
    </xf>
    <xf numFmtId="0" fontId="4" fillId="0" borderId="0" xfId="0" applyFont="1" applyAlignment="1">
      <alignment vertical="center" wrapText="1"/>
    </xf>
    <xf numFmtId="0" fontId="9" fillId="5" borderId="1" xfId="0" applyFont="1" applyFill="1" applyBorder="1" applyAlignment="1" applyProtection="1">
      <alignment vertical="center" wrapText="1"/>
      <protection locked="0"/>
    </xf>
    <xf numFmtId="0" fontId="20" fillId="5" borderId="1" xfId="0" applyFont="1" applyFill="1" applyBorder="1" applyAlignment="1" applyProtection="1">
      <alignment vertical="center" wrapText="1"/>
      <protection locked="0"/>
    </xf>
    <xf numFmtId="0" fontId="20" fillId="5" borderId="1" xfId="0" applyFont="1" applyFill="1" applyBorder="1" applyAlignment="1" applyProtection="1">
      <alignment horizontal="center" vertical="center" wrapText="1"/>
      <protection locked="0"/>
    </xf>
    <xf numFmtId="0" fontId="4" fillId="5" borderId="0" xfId="0" applyFont="1" applyFill="1" applyAlignment="1">
      <alignment vertical="center" wrapText="1"/>
    </xf>
    <xf numFmtId="0" fontId="4" fillId="5" borderId="1" xfId="0" applyFont="1" applyFill="1" applyBorder="1" applyAlignment="1" applyProtection="1">
      <alignment wrapText="1"/>
      <protection locked="0"/>
    </xf>
    <xf numFmtId="0" fontId="4" fillId="5" borderId="1" xfId="0" applyFont="1" applyFill="1" applyBorder="1" applyAlignment="1" applyProtection="1">
      <alignment horizontal="center" wrapText="1"/>
      <protection locked="0"/>
    </xf>
    <xf numFmtId="0" fontId="4" fillId="5" borderId="0" xfId="0" applyFont="1" applyFill="1" applyAlignment="1">
      <alignment wrapText="1"/>
    </xf>
    <xf numFmtId="0" fontId="26" fillId="7" borderId="1" xfId="0" applyFont="1" applyFill="1" applyBorder="1" applyAlignment="1">
      <alignment horizontal="center" wrapText="1"/>
    </xf>
    <xf numFmtId="0" fontId="28" fillId="7" borderId="0" xfId="0" applyFont="1" applyFill="1" applyAlignment="1">
      <alignment wrapText="1"/>
    </xf>
    <xf numFmtId="49" fontId="5" fillId="8" borderId="1" xfId="0" applyNumberFormat="1" applyFont="1" applyFill="1" applyBorder="1" applyAlignment="1">
      <alignment horizontal="centerContinuous" vertical="center"/>
    </xf>
    <xf numFmtId="0" fontId="5" fillId="8" borderId="1" xfId="0" applyFont="1" applyFill="1" applyBorder="1" applyAlignment="1">
      <alignment horizontal="centerContinuous" vertical="center"/>
    </xf>
    <xf numFmtId="49" fontId="4" fillId="8" borderId="1" xfId="0" applyNumberFormat="1" applyFont="1" applyFill="1" applyBorder="1" applyAlignment="1">
      <alignment horizontal="centerContinuous" vertical="center"/>
    </xf>
    <xf numFmtId="0" fontId="5" fillId="8" borderId="1" xfId="0" applyFont="1" applyFill="1" applyBorder="1">
      <alignment vertical="center"/>
    </xf>
    <xf numFmtId="0" fontId="3" fillId="0" borderId="0" xfId="0" applyFont="1" applyAlignment="1">
      <alignment vertical="center" wrapText="1"/>
    </xf>
    <xf numFmtId="0" fontId="29" fillId="0" borderId="1" xfId="0" applyFont="1" applyBorder="1" applyAlignment="1">
      <alignment vertical="center" wrapText="1"/>
    </xf>
    <xf numFmtId="0" fontId="25" fillId="0" borderId="1" xfId="0" applyFont="1" applyBorder="1">
      <alignment vertical="center"/>
    </xf>
    <xf numFmtId="0" fontId="30" fillId="0" borderId="1" xfId="0" applyFont="1" applyBorder="1">
      <alignment vertical="center"/>
    </xf>
    <xf numFmtId="0" fontId="25" fillId="5" borderId="1" xfId="0" applyFont="1" applyFill="1" applyBorder="1">
      <alignment vertical="center"/>
    </xf>
    <xf numFmtId="0" fontId="25" fillId="5" borderId="1" xfId="0" applyFont="1" applyFill="1" applyBorder="1" applyAlignment="1">
      <alignment horizontal="center" vertical="center"/>
    </xf>
    <xf numFmtId="0" fontId="17" fillId="8" borderId="1" xfId="0" applyFont="1" applyFill="1" applyBorder="1" applyAlignment="1">
      <alignment horizontal="centerContinuous" vertical="center"/>
    </xf>
    <xf numFmtId="0" fontId="33" fillId="5" borderId="1" xfId="0" applyFont="1" applyFill="1" applyBorder="1" applyAlignment="1" applyProtection="1">
      <alignment vertical="center" wrapText="1"/>
      <protection locked="0"/>
    </xf>
    <xf numFmtId="0" fontId="19" fillId="5" borderId="1" xfId="0" applyFont="1" applyFill="1" applyBorder="1" applyAlignment="1" applyProtection="1">
      <alignment wrapText="1"/>
      <protection locked="0"/>
    </xf>
    <xf numFmtId="0" fontId="19" fillId="5" borderId="1" xfId="0" applyFont="1" applyFill="1" applyBorder="1" applyAlignment="1" applyProtection="1">
      <alignment vertical="center" wrapText="1"/>
      <protection locked="0"/>
    </xf>
    <xf numFmtId="0" fontId="34" fillId="5" borderId="1" xfId="0" applyFont="1" applyFill="1" applyBorder="1" applyAlignment="1" applyProtection="1">
      <alignment horizontal="center" vertical="center" wrapText="1"/>
      <protection locked="0"/>
    </xf>
    <xf numFmtId="0" fontId="31" fillId="5" borderId="0" xfId="0" applyFont="1" applyFill="1">
      <alignment vertical="center"/>
    </xf>
    <xf numFmtId="0" fontId="31" fillId="5" borderId="0" xfId="0" applyFont="1" applyFill="1" applyAlignment="1">
      <alignment vertical="center" wrapText="1"/>
    </xf>
    <xf numFmtId="0" fontId="35" fillId="5" borderId="1" xfId="0" applyFont="1" applyFill="1" applyBorder="1" applyAlignment="1" applyProtection="1">
      <alignment vertical="center" wrapText="1"/>
      <protection locked="0"/>
    </xf>
    <xf numFmtId="0" fontId="34" fillId="5" borderId="1" xfId="0" applyFont="1" applyFill="1" applyBorder="1" applyAlignment="1" applyProtection="1">
      <alignment wrapText="1"/>
      <protection locked="0"/>
    </xf>
    <xf numFmtId="0" fontId="36" fillId="5" borderId="1" xfId="0" applyFont="1" applyFill="1" applyBorder="1" applyAlignment="1" applyProtection="1">
      <alignment vertical="center" wrapText="1"/>
      <protection locked="0"/>
    </xf>
    <xf numFmtId="0" fontId="19" fillId="5" borderId="1" xfId="0" applyFont="1" applyFill="1" applyBorder="1" applyAlignment="1" applyProtection="1">
      <alignment horizontal="center" wrapText="1"/>
      <protection locked="0"/>
    </xf>
    <xf numFmtId="0" fontId="4" fillId="5" borderId="1" xfId="0" applyFont="1" applyFill="1" applyBorder="1" applyAlignment="1" applyProtection="1">
      <alignment vertical="center" wrapText="1"/>
      <protection locked="0"/>
    </xf>
    <xf numFmtId="0" fontId="19" fillId="5" borderId="1" xfId="0" applyFont="1" applyFill="1" applyBorder="1" applyAlignment="1" applyProtection="1">
      <alignment horizontal="center" vertical="center" wrapText="1"/>
      <protection locked="0"/>
    </xf>
    <xf numFmtId="0" fontId="31" fillId="5" borderId="1" xfId="0" applyFont="1" applyFill="1" applyBorder="1">
      <alignment vertical="center"/>
    </xf>
    <xf numFmtId="0" fontId="31" fillId="5" borderId="1" xfId="0" applyFont="1" applyFill="1" applyBorder="1" applyAlignment="1">
      <alignment vertical="center" wrapText="1"/>
    </xf>
    <xf numFmtId="0" fontId="4" fillId="5" borderId="1" xfId="0" applyFont="1" applyFill="1" applyBorder="1" applyAlignment="1" applyProtection="1">
      <alignment horizontal="left" vertical="center" wrapText="1"/>
      <protection locked="0"/>
    </xf>
    <xf numFmtId="0" fontId="31" fillId="5" borderId="0" xfId="0" applyFont="1" applyFill="1" applyAlignment="1">
      <alignment horizontal="left" vertical="center" wrapText="1"/>
    </xf>
    <xf numFmtId="0" fontId="31" fillId="5" borderId="1" xfId="0" applyFont="1" applyFill="1" applyBorder="1" applyAlignment="1">
      <alignment horizontal="left" vertical="center" wrapText="1"/>
    </xf>
    <xf numFmtId="0" fontId="1" fillId="3" borderId="9" xfId="0" applyFont="1" applyFill="1" applyBorder="1" applyAlignment="1">
      <alignment horizontal="center"/>
    </xf>
    <xf numFmtId="0" fontId="1" fillId="3" borderId="10" xfId="0" applyFont="1" applyFill="1" applyBorder="1" applyAlignment="1">
      <alignment horizontal="center"/>
    </xf>
    <xf numFmtId="176" fontId="4" fillId="8" borderId="9" xfId="0" applyNumberFormat="1" applyFont="1" applyFill="1" applyBorder="1" applyAlignment="1">
      <alignment horizontal="center" vertical="center"/>
    </xf>
    <xf numFmtId="176" fontId="4" fillId="8" borderId="10" xfId="0" applyNumberFormat="1" applyFont="1" applyFill="1" applyBorder="1" applyAlignment="1">
      <alignment horizontal="center" vertical="center"/>
    </xf>
    <xf numFmtId="0" fontId="4" fillId="3" borderId="10" xfId="0" applyFont="1" applyFill="1" applyBorder="1" applyAlignment="1">
      <alignment horizontal="center"/>
    </xf>
    <xf numFmtId="0" fontId="1" fillId="0" borderId="1" xfId="0" applyFont="1" applyBorder="1" applyAlignment="1">
      <alignment horizontal="center" vertical="center"/>
    </xf>
    <xf numFmtId="0" fontId="4" fillId="2" borderId="9" xfId="0" applyFont="1" applyFill="1" applyBorder="1" applyAlignment="1">
      <alignment horizontal="center" vertical="center"/>
    </xf>
    <xf numFmtId="0" fontId="4" fillId="2" borderId="11" xfId="0" applyFont="1" applyFill="1" applyBorder="1" applyAlignment="1">
      <alignment horizontal="center" vertical="center"/>
    </xf>
    <xf numFmtId="0" fontId="4" fillId="2" borderId="10" xfId="0" applyFont="1" applyFill="1" applyBorder="1" applyAlignment="1">
      <alignment horizontal="center" vertical="center"/>
    </xf>
    <xf numFmtId="0" fontId="4" fillId="3" borderId="1" xfId="0" applyFont="1" applyFill="1" applyBorder="1" applyAlignment="1">
      <alignment horizontal="center" wrapText="1"/>
    </xf>
    <xf numFmtId="176" fontId="5" fillId="8" borderId="1" xfId="0" applyNumberFormat="1" applyFont="1" applyFill="1" applyBorder="1" applyAlignment="1">
      <alignment horizontal="center" vertical="center"/>
    </xf>
    <xf numFmtId="0" fontId="23" fillId="3" borderId="9" xfId="0" applyFont="1" applyFill="1" applyBorder="1" applyAlignment="1">
      <alignment horizontal="center"/>
    </xf>
    <xf numFmtId="0" fontId="24" fillId="3" borderId="10" xfId="0" applyFont="1" applyFill="1" applyBorder="1" applyAlignment="1">
      <alignment horizontal="center"/>
    </xf>
    <xf numFmtId="0" fontId="18" fillId="0" borderId="9" xfId="0" applyFont="1" applyBorder="1" applyAlignment="1">
      <alignment horizontal="center" vertical="center" wrapText="1"/>
    </xf>
    <xf numFmtId="0" fontId="12" fillId="0" borderId="11" xfId="0" applyFont="1" applyBorder="1" applyAlignment="1">
      <alignment horizontal="center" vertical="center" wrapText="1"/>
    </xf>
    <xf numFmtId="0" fontId="0" fillId="0" borderId="11" xfId="0" applyBorder="1" applyAlignment="1">
      <alignment horizontal="center" vertical="center"/>
    </xf>
    <xf numFmtId="0" fontId="0" fillId="0" borderId="10" xfId="0" applyBorder="1" applyAlignment="1">
      <alignment horizontal="center" vertical="center"/>
    </xf>
    <xf numFmtId="0" fontId="19" fillId="0" borderId="1" xfId="0" applyFont="1" applyBorder="1" applyAlignment="1">
      <alignment horizontal="center" vertical="center" wrapText="1"/>
    </xf>
    <xf numFmtId="0" fontId="4" fillId="0" borderId="1" xfId="0" applyFont="1" applyBorder="1" applyAlignment="1">
      <alignment horizontal="center" vertical="center" wrapText="1"/>
    </xf>
    <xf numFmtId="0" fontId="16" fillId="0" borderId="1" xfId="0" applyFont="1" applyBorder="1" applyAlignment="1">
      <alignment horizontal="center" vertical="center" wrapText="1"/>
    </xf>
    <xf numFmtId="0" fontId="0" fillId="0" borderId="1" xfId="0" applyBorder="1" applyAlignment="1">
      <alignment horizontal="center" vertical="center"/>
    </xf>
    <xf numFmtId="0" fontId="1" fillId="0" borderId="9" xfId="0" applyFont="1" applyBorder="1" applyAlignment="1">
      <alignment horizontal="center" vertical="center" wrapText="1"/>
    </xf>
    <xf numFmtId="0" fontId="1" fillId="0" borderId="11" xfId="0" applyFont="1" applyBorder="1" applyAlignment="1">
      <alignment horizontal="center" vertical="center" wrapText="1"/>
    </xf>
    <xf numFmtId="0" fontId="31" fillId="0" borderId="9" xfId="0" applyFont="1" applyBorder="1" applyAlignment="1">
      <alignment horizontal="center" vertical="center" wrapText="1"/>
    </xf>
    <xf numFmtId="0" fontId="5" fillId="0" borderId="11" xfId="0" applyFont="1" applyBorder="1" applyAlignment="1">
      <alignment horizontal="center" vertical="center" wrapText="1"/>
    </xf>
    <xf numFmtId="0" fontId="5" fillId="0" borderId="10" xfId="0" applyFont="1" applyBorder="1" applyAlignment="1">
      <alignment horizontal="center" vertical="center" wrapText="1"/>
    </xf>
    <xf numFmtId="0" fontId="0" fillId="0" borderId="10" xfId="0" applyBorder="1" applyAlignment="1">
      <alignment horizontal="center" vertical="center" wrapText="1"/>
    </xf>
    <xf numFmtId="0" fontId="5" fillId="0" borderId="9" xfId="0" applyFont="1" applyBorder="1" applyAlignment="1">
      <alignment horizontal="center" vertical="center" wrapText="1"/>
    </xf>
    <xf numFmtId="0" fontId="1" fillId="0" borderId="1" xfId="0" applyFont="1" applyBorder="1" applyAlignment="1">
      <alignment horizontal="center" vertical="center" wrapText="1"/>
    </xf>
    <xf numFmtId="0" fontId="4" fillId="0" borderId="9" xfId="0" applyFont="1" applyBorder="1" applyAlignment="1">
      <alignment horizontal="center" vertical="center" wrapText="1"/>
    </xf>
    <xf numFmtId="0" fontId="4" fillId="0" borderId="10" xfId="0" applyFont="1" applyBorder="1" applyAlignment="1">
      <alignment horizontal="center" vertical="center" wrapText="1"/>
    </xf>
    <xf numFmtId="0" fontId="15" fillId="0" borderId="9" xfId="0" applyFont="1" applyBorder="1" applyAlignment="1">
      <alignment horizontal="center" vertical="center" wrapText="1"/>
    </xf>
    <xf numFmtId="0" fontId="7" fillId="6" borderId="12" xfId="0" applyFont="1" applyFill="1" applyBorder="1" applyAlignment="1" applyProtection="1">
      <alignment horizontal="center" vertical="center" wrapText="1"/>
      <protection locked="0"/>
    </xf>
    <xf numFmtId="0" fontId="7" fillId="6" borderId="0" xfId="0" applyFont="1" applyFill="1" applyAlignment="1" applyProtection="1">
      <alignment horizontal="center" vertical="center" wrapText="1"/>
      <protection locked="0"/>
    </xf>
    <xf numFmtId="0" fontId="0" fillId="6" borderId="0" xfId="0" applyFill="1" applyAlignment="1">
      <alignment vertical="center" wrapText="1"/>
    </xf>
    <xf numFmtId="0" fontId="32" fillId="5" borderId="1" xfId="0" applyFont="1" applyFill="1" applyBorder="1" applyAlignment="1" applyProtection="1">
      <alignment vertical="center" wrapText="1"/>
      <protection locked="0"/>
    </xf>
    <xf numFmtId="0" fontId="40" fillId="5" borderId="1" xfId="0" applyFont="1" applyFill="1" applyBorder="1" applyAlignment="1" applyProtection="1">
      <alignment vertical="center" wrapText="1"/>
      <protection locked="0"/>
    </xf>
    <xf numFmtId="0" fontId="41" fillId="5" borderId="1" xfId="0" applyFont="1" applyFill="1" applyBorder="1" applyAlignment="1" applyProtection="1">
      <alignment vertical="center" wrapText="1"/>
      <protection locked="0"/>
    </xf>
    <xf numFmtId="0" fontId="35" fillId="5" borderId="1" xfId="0" applyFont="1" applyFill="1" applyBorder="1" applyAlignment="1" applyProtection="1">
      <alignment wrapText="1"/>
      <protection locked="0"/>
    </xf>
    <xf numFmtId="0" fontId="17" fillId="8" borderId="1" xfId="0" applyFont="1" applyFill="1" applyBorder="1">
      <alignment vertical="center"/>
    </xf>
    <xf numFmtId="0" fontId="17" fillId="8" borderId="1" xfId="0" applyFont="1" applyFill="1" applyBorder="1" applyAlignment="1">
      <alignment horizontal="center" vertical="center"/>
    </xf>
    <xf numFmtId="0" fontId="31" fillId="5" borderId="1" xfId="0" applyFont="1" applyFill="1" applyBorder="1" applyAlignment="1" applyProtection="1">
      <alignment wrapText="1"/>
      <protection locked="0"/>
    </xf>
  </cellXfs>
  <cellStyles count="2">
    <cellStyle name="常规" xfId="0" builtinId="0"/>
    <cellStyle name="超链接" xfId="1" builtinId="8"/>
  </cellStyles>
  <dxfs count="0"/>
  <tableStyles count="0" defaultTableStyle="TableStyleMedium2" defaultPivotStyle="PivotStyleLight16"/>
  <colors>
    <mruColors>
      <color rgb="FFFFFFD5"/>
      <color rgb="FF0066FF"/>
      <color rgb="FF66CC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jpeg"/></Relationships>
</file>

<file path=xl/drawings/drawing1.xml><?xml version="1.0" encoding="utf-8"?>
<xdr:wsDr xmlns:xdr="http://schemas.openxmlformats.org/drawingml/2006/spreadsheetDrawing" xmlns:a="http://schemas.openxmlformats.org/drawingml/2006/main">
  <xdr:twoCellAnchor editAs="oneCell">
    <xdr:from>
      <xdr:col>5</xdr:col>
      <xdr:colOff>104775</xdr:colOff>
      <xdr:row>0</xdr:row>
      <xdr:rowOff>0</xdr:rowOff>
    </xdr:from>
    <xdr:to>
      <xdr:col>5</xdr:col>
      <xdr:colOff>2196465</xdr:colOff>
      <xdr:row>0</xdr:row>
      <xdr:rowOff>571500</xdr:rowOff>
    </xdr:to>
    <xdr:pic>
      <xdr:nvPicPr>
        <xdr:cNvPr id="1033" name="图片 1">
          <a:extLst>
            <a:ext uri="{FF2B5EF4-FFF2-40B4-BE49-F238E27FC236}">
              <a16:creationId xmlns:a16="http://schemas.microsoft.com/office/drawing/2014/main" id="{00000000-0008-0000-0000-000009040000}"/>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6657975" y="0"/>
          <a:ext cx="2095500" cy="57150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wsDr>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I36"/>
  <sheetViews>
    <sheetView tabSelected="1" topLeftCell="A10" workbookViewId="0">
      <selection activeCell="F39" sqref="F39"/>
    </sheetView>
  </sheetViews>
  <sheetFormatPr defaultColWidth="9" defaultRowHeight="15"/>
  <cols>
    <col min="1" max="1" width="7.75" style="13" customWidth="1"/>
    <col min="2" max="2" width="25.25" style="6" customWidth="1"/>
    <col min="3" max="3" width="7" style="6" customWidth="1"/>
    <col min="4" max="4" width="21.5" style="6" customWidth="1"/>
    <col min="5" max="5" width="24.5" style="6" customWidth="1"/>
    <col min="6" max="6" width="30.08203125" style="6" customWidth="1"/>
    <col min="7" max="7" width="17.25" style="6" customWidth="1"/>
    <col min="8" max="16384" width="9" style="6"/>
  </cols>
  <sheetData>
    <row r="1" spans="1:8" ht="51" customHeight="1">
      <c r="A1" s="17"/>
      <c r="B1" s="83" t="s">
        <v>38</v>
      </c>
      <c r="C1" s="84"/>
      <c r="D1" s="84"/>
      <c r="E1" s="84"/>
      <c r="F1" s="84"/>
      <c r="G1" s="16"/>
    </row>
    <row r="2" spans="1:8" ht="31.5" customHeight="1">
      <c r="A2" s="11"/>
      <c r="B2" s="85" t="s">
        <v>21</v>
      </c>
      <c r="C2" s="86"/>
      <c r="D2" s="86"/>
      <c r="E2" s="92" t="s">
        <v>22</v>
      </c>
      <c r="F2" s="92"/>
      <c r="G2" s="8"/>
    </row>
    <row r="3" spans="1:8" ht="23.25" customHeight="1">
      <c r="A3" s="11"/>
      <c r="B3" s="87" t="s">
        <v>71</v>
      </c>
      <c r="C3" s="88"/>
      <c r="D3" s="89"/>
      <c r="E3" s="93" t="s">
        <v>0</v>
      </c>
      <c r="F3" s="94"/>
      <c r="G3" s="8"/>
    </row>
    <row r="4" spans="1:8" ht="30">
      <c r="A4" s="11"/>
      <c r="B4" s="87" t="s">
        <v>18</v>
      </c>
      <c r="C4" s="90"/>
      <c r="D4" s="20" t="s">
        <v>19</v>
      </c>
      <c r="E4" s="93" t="s">
        <v>20</v>
      </c>
      <c r="F4" s="94"/>
      <c r="G4" s="8"/>
    </row>
    <row r="5" spans="1:8" ht="27.75" customHeight="1">
      <c r="A5" s="11"/>
      <c r="B5" s="91">
        <v>5</v>
      </c>
      <c r="C5" s="89"/>
      <c r="D5" s="24" t="s">
        <v>31</v>
      </c>
      <c r="E5" s="95" t="s">
        <v>40</v>
      </c>
      <c r="F5" s="94"/>
      <c r="G5" s="8"/>
    </row>
    <row r="6" spans="1:8" ht="101.25" customHeight="1">
      <c r="A6" s="15"/>
      <c r="B6" s="77" t="s">
        <v>41</v>
      </c>
      <c r="C6" s="78"/>
      <c r="D6" s="78"/>
      <c r="E6" s="79"/>
      <c r="F6" s="80"/>
      <c r="G6" s="8"/>
    </row>
    <row r="7" spans="1:8" ht="30.5">
      <c r="A7" s="11"/>
      <c r="B7" s="1" t="s">
        <v>10</v>
      </c>
      <c r="C7" s="81"/>
      <c r="D7" s="82"/>
      <c r="E7" s="1" t="s">
        <v>11</v>
      </c>
      <c r="F7" s="25" t="s">
        <v>42</v>
      </c>
      <c r="G7" s="8"/>
    </row>
    <row r="8" spans="1:8" ht="30.5">
      <c r="A8" s="11"/>
      <c r="B8" s="1" t="s">
        <v>12</v>
      </c>
      <c r="C8" s="81"/>
      <c r="D8" s="82"/>
      <c r="E8" s="1" t="s">
        <v>11</v>
      </c>
      <c r="F8" s="25" t="s">
        <v>42</v>
      </c>
      <c r="G8" s="8"/>
    </row>
    <row r="9" spans="1:8" ht="30.5">
      <c r="A9" s="11"/>
      <c r="B9" s="1" t="s">
        <v>13</v>
      </c>
      <c r="C9" s="82"/>
      <c r="D9" s="82"/>
      <c r="E9" s="1" t="s">
        <v>11</v>
      </c>
      <c r="F9" s="25" t="s">
        <v>42</v>
      </c>
      <c r="G9" s="8"/>
    </row>
    <row r="10" spans="1:8" ht="28.5" customHeight="1">
      <c r="A10" s="11"/>
      <c r="B10" s="70" t="s">
        <v>3</v>
      </c>
      <c r="C10" s="71"/>
      <c r="D10" s="71"/>
      <c r="E10" s="71"/>
      <c r="F10" s="72"/>
      <c r="G10" s="8"/>
      <c r="H10" s="8"/>
    </row>
    <row r="11" spans="1:8" ht="32">
      <c r="A11" s="11"/>
      <c r="B11" s="73" t="s">
        <v>23</v>
      </c>
      <c r="C11" s="73"/>
      <c r="D11" s="3" t="s">
        <v>4</v>
      </c>
      <c r="E11" s="4" t="s">
        <v>24</v>
      </c>
      <c r="F11" s="3" t="s">
        <v>25</v>
      </c>
      <c r="G11" s="8"/>
      <c r="H11" s="8"/>
    </row>
    <row r="12" spans="1:8" ht="15.5">
      <c r="A12" s="11"/>
      <c r="B12" s="74">
        <v>45992</v>
      </c>
      <c r="C12" s="74"/>
      <c r="D12" s="36" t="s">
        <v>5</v>
      </c>
      <c r="E12" s="37" t="s">
        <v>39</v>
      </c>
      <c r="F12" s="46" t="s">
        <v>72</v>
      </c>
      <c r="G12" s="8"/>
      <c r="H12" s="8"/>
    </row>
    <row r="13" spans="1:8" ht="15.5">
      <c r="A13" s="11"/>
      <c r="B13" s="66" t="s">
        <v>223</v>
      </c>
      <c r="C13" s="67"/>
      <c r="D13" s="38" t="s">
        <v>224</v>
      </c>
      <c r="E13" s="104" t="s">
        <v>225</v>
      </c>
      <c r="F13" s="103" t="s">
        <v>226</v>
      </c>
      <c r="H13" s="8"/>
    </row>
    <row r="14" spans="1:8" ht="15.5">
      <c r="A14" s="11"/>
      <c r="B14" s="66"/>
      <c r="C14" s="67"/>
      <c r="D14" s="38"/>
      <c r="E14" s="39"/>
      <c r="F14" s="39"/>
      <c r="H14" s="8"/>
    </row>
    <row r="15" spans="1:8" ht="15.5">
      <c r="A15" s="11"/>
      <c r="B15" s="66"/>
      <c r="C15" s="67"/>
      <c r="D15" s="38"/>
      <c r="E15" s="39"/>
      <c r="F15" s="39"/>
      <c r="H15" s="8"/>
    </row>
    <row r="16" spans="1:8" ht="15.5">
      <c r="A16" s="11"/>
      <c r="B16" s="66"/>
      <c r="C16" s="67"/>
      <c r="D16" s="38"/>
      <c r="E16" s="39"/>
      <c r="F16" s="39"/>
      <c r="H16" s="8"/>
    </row>
    <row r="17" spans="1:9" ht="15.5">
      <c r="A17" s="11"/>
      <c r="B17" s="66"/>
      <c r="C17" s="67"/>
      <c r="D17" s="38"/>
      <c r="E17" s="39"/>
      <c r="F17" s="39"/>
      <c r="H17" s="8"/>
    </row>
    <row r="18" spans="1:9" ht="28.5" customHeight="1">
      <c r="A18" s="17"/>
      <c r="B18" s="69" t="s">
        <v>30</v>
      </c>
      <c r="C18" s="69"/>
      <c r="D18" s="69"/>
      <c r="E18" s="69"/>
      <c r="F18" s="69"/>
      <c r="G18" s="8"/>
    </row>
    <row r="19" spans="1:9" s="7" customFormat="1" ht="17.25" customHeight="1">
      <c r="A19" s="14"/>
      <c r="B19" s="64" t="s">
        <v>14</v>
      </c>
      <c r="C19" s="68"/>
      <c r="D19" s="21" t="s">
        <v>16</v>
      </c>
      <c r="E19" s="22" t="s">
        <v>15</v>
      </c>
      <c r="F19" s="21" t="s">
        <v>17</v>
      </c>
      <c r="G19" s="18"/>
      <c r="H19" s="6"/>
      <c r="I19" s="6"/>
    </row>
    <row r="20" spans="1:9" s="7" customFormat="1" ht="17.25" customHeight="1">
      <c r="A20" s="14"/>
      <c r="B20" s="75" t="s">
        <v>27</v>
      </c>
      <c r="C20" s="76"/>
      <c r="D20" s="5">
        <f>COUNTIF('Test Cases'!C:C,B20)</f>
        <v>23</v>
      </c>
      <c r="E20" s="5">
        <v>23</v>
      </c>
      <c r="F20" s="23">
        <f t="shared" ref="F20:F27" si="0">IF(D20,E20/D20,0)</f>
        <v>1</v>
      </c>
      <c r="G20" s="18"/>
      <c r="H20" s="6"/>
      <c r="I20" s="6"/>
    </row>
    <row r="21" spans="1:9" s="7" customFormat="1" ht="17.25" customHeight="1">
      <c r="A21" s="14"/>
      <c r="B21" s="64" t="s">
        <v>33</v>
      </c>
      <c r="C21" s="65"/>
      <c r="D21" s="5">
        <f>COUNTIF('Test Cases'!C:C,B21)</f>
        <v>2</v>
      </c>
      <c r="E21" s="5">
        <f>SUMPRODUCT(('Test Cases'!C:C=B21)*('Test Cases'!J:J="Y"))</f>
        <v>2</v>
      </c>
      <c r="F21" s="23">
        <f>IF(D21,E21/D21,0)</f>
        <v>1</v>
      </c>
      <c r="G21" s="18"/>
      <c r="H21" s="6"/>
      <c r="I21" s="6"/>
    </row>
    <row r="22" spans="1:9" s="7" customFormat="1" ht="17.25" customHeight="1">
      <c r="A22" s="14"/>
      <c r="B22" s="64" t="s">
        <v>35</v>
      </c>
      <c r="C22" s="65"/>
      <c r="D22" s="5">
        <f>COUNTIF('Test Cases'!C:C,B22)</f>
        <v>1</v>
      </c>
      <c r="E22" s="5">
        <f>SUMPRODUCT(('Test Cases'!C:C=B22)*('Test Cases'!J:J="Y"))</f>
        <v>1</v>
      </c>
      <c r="F22" s="23">
        <f>IF(D22,E22/D22,0)</f>
        <v>1</v>
      </c>
      <c r="G22" s="18"/>
      <c r="H22" s="6"/>
      <c r="I22" s="6"/>
    </row>
    <row r="23" spans="1:9" s="7" customFormat="1" ht="17.25" customHeight="1">
      <c r="A23" s="14"/>
      <c r="B23" s="64" t="s">
        <v>36</v>
      </c>
      <c r="C23" s="65"/>
      <c r="D23" s="5">
        <f>COUNTIF('Test Cases'!C:C,B23)</f>
        <v>0</v>
      </c>
      <c r="E23" s="5">
        <f>SUMPRODUCT(('Test Cases'!C:C=B23)*('Test Cases'!J:J="Y"))</f>
        <v>0</v>
      </c>
      <c r="F23" s="23">
        <f>IF(D23,E23/D23,0)</f>
        <v>0</v>
      </c>
      <c r="G23" s="18"/>
      <c r="H23" s="6"/>
      <c r="I23" s="6"/>
    </row>
    <row r="24" spans="1:9" s="7" customFormat="1" ht="17.25" customHeight="1">
      <c r="A24" s="14"/>
      <c r="B24" s="64" t="s">
        <v>37</v>
      </c>
      <c r="C24" s="65"/>
      <c r="D24" s="5">
        <f>COUNTIF('Test Cases'!C:C,B24)</f>
        <v>2</v>
      </c>
      <c r="E24" s="5">
        <f>SUMPRODUCT(('Test Cases'!C:C=B24)*('Test Cases'!J:J="Y"))</f>
        <v>2</v>
      </c>
      <c r="F24" s="23">
        <f>IF(D24,E24/D24,0)</f>
        <v>1</v>
      </c>
      <c r="G24" s="18"/>
      <c r="H24" s="6"/>
      <c r="I24" s="6"/>
    </row>
    <row r="25" spans="1:9" s="7" customFormat="1" ht="17.25" customHeight="1">
      <c r="A25" s="14"/>
      <c r="B25" s="64" t="s">
        <v>34</v>
      </c>
      <c r="C25" s="65"/>
      <c r="D25" s="5">
        <f>COUNTIF('Test Cases'!C:C,B25)</f>
        <v>0</v>
      </c>
      <c r="E25" s="5">
        <f>SUMPRODUCT(('Test Cases'!C:C=B25)*('Test Cases'!J:J="Y"))</f>
        <v>0</v>
      </c>
      <c r="F25" s="23">
        <f>IF(D25,E25/D25,0)</f>
        <v>0</v>
      </c>
      <c r="G25" s="18"/>
      <c r="H25" s="6"/>
      <c r="I25" s="6"/>
    </row>
    <row r="26" spans="1:9" s="7" customFormat="1" ht="17.25" customHeight="1">
      <c r="A26" s="14"/>
      <c r="B26" s="64" t="s">
        <v>28</v>
      </c>
      <c r="C26" s="68"/>
      <c r="D26" s="5">
        <f>COUNTIF('Test Cases'!C:C,B26)</f>
        <v>1</v>
      </c>
      <c r="E26" s="5">
        <f>SUMPRODUCT(('Test Cases'!C:C=B26)*('Test Cases'!J:J="Y"))</f>
        <v>1</v>
      </c>
      <c r="F26" s="23">
        <f t="shared" si="0"/>
        <v>1</v>
      </c>
      <c r="G26" s="18"/>
    </row>
    <row r="27" spans="1:9" ht="16">
      <c r="A27" s="19"/>
      <c r="B27" s="64" t="s">
        <v>29</v>
      </c>
      <c r="C27" s="68"/>
      <c r="D27" s="5">
        <f>SUM(D20:D26)</f>
        <v>29</v>
      </c>
      <c r="E27" s="5">
        <f>COUNTIF('Test Cases'!J:J,"Y")</f>
        <v>28</v>
      </c>
      <c r="F27" s="23">
        <f t="shared" si="0"/>
        <v>0.96551724137931039</v>
      </c>
      <c r="G27" s="8"/>
    </row>
    <row r="28" spans="1:9">
      <c r="A28" s="12"/>
      <c r="B28" s="9"/>
      <c r="C28" s="9"/>
      <c r="D28" s="9"/>
      <c r="E28" s="9"/>
      <c r="F28" s="9"/>
      <c r="G28" s="9"/>
    </row>
    <row r="29" spans="1:9">
      <c r="A29" s="12"/>
      <c r="B29" s="9"/>
      <c r="C29" s="9"/>
      <c r="D29" s="9"/>
      <c r="E29" s="9"/>
      <c r="F29" s="9"/>
      <c r="G29" s="9"/>
    </row>
    <row r="30" spans="1:9">
      <c r="A30" s="12"/>
      <c r="B30" s="9"/>
      <c r="C30" s="9"/>
      <c r="D30" s="9"/>
      <c r="E30" s="9"/>
      <c r="F30" s="9"/>
      <c r="G30" s="9"/>
    </row>
    <row r="31" spans="1:9">
      <c r="B31" s="10" t="s">
        <v>6</v>
      </c>
      <c r="C31" s="10"/>
      <c r="D31" s="10"/>
    </row>
    <row r="32" spans="1:9" ht="15.5">
      <c r="B32" s="10" t="s">
        <v>7</v>
      </c>
      <c r="C32" s="10"/>
      <c r="D32" s="10"/>
      <c r="E32" s="7"/>
      <c r="F32" s="7"/>
    </row>
    <row r="33" spans="5:6" ht="15.5">
      <c r="E33" s="7"/>
      <c r="F33" s="7"/>
    </row>
    <row r="34" spans="5:6" ht="15.5">
      <c r="E34" s="7"/>
      <c r="F34" s="7"/>
    </row>
    <row r="35" spans="5:6" ht="15.5">
      <c r="E35" s="7"/>
      <c r="F35" s="7"/>
    </row>
    <row r="36" spans="5:6" ht="15.5">
      <c r="E36" s="7"/>
      <c r="F36" s="7"/>
    </row>
  </sheetData>
  <mergeCells count="31">
    <mergeCell ref="B1:F1"/>
    <mergeCell ref="B2:D2"/>
    <mergeCell ref="B3:D3"/>
    <mergeCell ref="B4:C4"/>
    <mergeCell ref="B5:C5"/>
    <mergeCell ref="E2:F2"/>
    <mergeCell ref="E3:F3"/>
    <mergeCell ref="E4:F4"/>
    <mergeCell ref="E5:F5"/>
    <mergeCell ref="B6:F6"/>
    <mergeCell ref="B19:C19"/>
    <mergeCell ref="C7:D7"/>
    <mergeCell ref="C8:D8"/>
    <mergeCell ref="B21:C21"/>
    <mergeCell ref="C9:D9"/>
    <mergeCell ref="B22:C22"/>
    <mergeCell ref="B14:C14"/>
    <mergeCell ref="B27:C27"/>
    <mergeCell ref="B18:F18"/>
    <mergeCell ref="B10:F10"/>
    <mergeCell ref="B17:C17"/>
    <mergeCell ref="B11:C11"/>
    <mergeCell ref="B12:C12"/>
    <mergeCell ref="B26:C26"/>
    <mergeCell ref="B23:C23"/>
    <mergeCell ref="B24:C24"/>
    <mergeCell ref="B15:C15"/>
    <mergeCell ref="B16:C16"/>
    <mergeCell ref="B13:C13"/>
    <mergeCell ref="B25:C25"/>
    <mergeCell ref="B20:C20"/>
  </mergeCells>
  <phoneticPr fontId="2" type="noConversion"/>
  <hyperlinks>
    <hyperlink ref="B31" location="'Test Cases'!A1" display="测试用例详情" xr:uid="{00000000-0004-0000-0000-000000000000}"/>
    <hyperlink ref="B32" location="功能测试用例常用测试项!A1" display="文档帮助" xr:uid="{00000000-0004-0000-0000-000001000000}"/>
  </hyperlinks>
  <pageMargins left="0.75" right="0.75" top="1" bottom="1" header="0.5" footer="0.5"/>
  <pageSetup paperSize="9" orientation="portrait" verticalDpi="1200" r:id="rId1"/>
  <headerFooter alignWithMargins="0"/>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O33"/>
  <sheetViews>
    <sheetView workbookViewId="0">
      <pane xSplit="3" ySplit="4" topLeftCell="D20" activePane="bottomRight" state="frozen"/>
      <selection pane="topRight" activeCell="D1" sqref="D1"/>
      <selection pane="bottomLeft" activeCell="A5" sqref="A5"/>
      <selection pane="bottomRight" activeCell="O24" sqref="O24"/>
    </sheetView>
  </sheetViews>
  <sheetFormatPr defaultColWidth="13.08203125" defaultRowHeight="15.5"/>
  <cols>
    <col min="1" max="1" width="13.75" style="31" customWidth="1"/>
    <col min="2" max="2" width="12.08203125" style="31" customWidth="1"/>
    <col min="3" max="3" width="11.33203125" style="31" customWidth="1"/>
    <col min="4" max="4" width="17.75" style="31" customWidth="1"/>
    <col min="5" max="5" width="11.75" style="32" customWidth="1"/>
    <col min="6" max="6" width="18" style="31" customWidth="1"/>
    <col min="7" max="7" width="21.75" style="31" customWidth="1"/>
    <col min="8" max="8" width="23.58203125" style="31" customWidth="1"/>
    <col min="9" max="9" width="15" style="31" customWidth="1"/>
    <col min="10" max="10" width="8.83203125" style="31" customWidth="1"/>
    <col min="11" max="11" width="16.5" style="31" customWidth="1"/>
    <col min="12" max="12" width="5" style="33" hidden="1" customWidth="1"/>
    <col min="13" max="13" width="21.5" style="31" customWidth="1"/>
    <col min="14" max="39" width="13.08203125" style="2"/>
    <col min="40" max="40" width="13.25" style="2" customWidth="1"/>
    <col min="41" max="41" width="4.33203125" style="2" hidden="1" customWidth="1"/>
    <col min="42" max="16384" width="13.08203125" style="2"/>
  </cols>
  <sheetData>
    <row r="1" spans="1:13" ht="9.25" customHeight="1">
      <c r="A1" s="96" t="s">
        <v>1</v>
      </c>
      <c r="B1" s="97"/>
      <c r="C1" s="97"/>
      <c r="D1" s="97"/>
      <c r="E1" s="97"/>
      <c r="F1" s="97"/>
      <c r="G1" s="97"/>
      <c r="H1" s="97"/>
      <c r="I1" s="97"/>
      <c r="J1" s="97"/>
      <c r="K1" s="97"/>
      <c r="L1" s="98"/>
      <c r="M1" s="98"/>
    </row>
    <row r="2" spans="1:13" ht="9.65" customHeight="1">
      <c r="A2" s="96"/>
      <c r="B2" s="97"/>
      <c r="C2" s="97"/>
      <c r="D2" s="97"/>
      <c r="E2" s="97"/>
      <c r="F2" s="97"/>
      <c r="G2" s="97"/>
      <c r="H2" s="97"/>
      <c r="I2" s="97"/>
      <c r="J2" s="97"/>
      <c r="K2" s="97"/>
      <c r="L2" s="98"/>
      <c r="M2" s="98"/>
    </row>
    <row r="3" spans="1:13" ht="13.5" customHeight="1">
      <c r="A3" s="96"/>
      <c r="B3" s="97"/>
      <c r="C3" s="97"/>
      <c r="D3" s="97"/>
      <c r="E3" s="97"/>
      <c r="F3" s="97"/>
      <c r="G3" s="97"/>
      <c r="H3" s="97"/>
      <c r="I3" s="97"/>
      <c r="J3" s="97"/>
      <c r="K3" s="97"/>
      <c r="L3" s="98"/>
      <c r="M3" s="98"/>
    </row>
    <row r="4" spans="1:13" ht="46">
      <c r="A4" s="34" t="s">
        <v>48</v>
      </c>
      <c r="B4" s="34" t="s">
        <v>49</v>
      </c>
      <c r="C4" s="34" t="s">
        <v>50</v>
      </c>
      <c r="D4" s="34" t="s">
        <v>51</v>
      </c>
      <c r="E4" s="34" t="s">
        <v>52</v>
      </c>
      <c r="F4" s="34" t="s">
        <v>53</v>
      </c>
      <c r="G4" s="34" t="s">
        <v>69</v>
      </c>
      <c r="H4" s="34" t="s">
        <v>54</v>
      </c>
      <c r="I4" s="34" t="s">
        <v>55</v>
      </c>
      <c r="J4" s="34" t="s">
        <v>56</v>
      </c>
      <c r="K4" s="34" t="s">
        <v>57</v>
      </c>
      <c r="L4" s="35"/>
      <c r="M4" s="34" t="s">
        <v>58</v>
      </c>
    </row>
    <row r="5" spans="1:13" s="26" customFormat="1" ht="178.5" customHeight="1">
      <c r="A5" s="47" t="s">
        <v>73</v>
      </c>
      <c r="B5" s="28" t="s">
        <v>74</v>
      </c>
      <c r="C5" s="28" t="s">
        <v>8</v>
      </c>
      <c r="D5" s="28" t="s">
        <v>75</v>
      </c>
      <c r="E5" s="29" t="s">
        <v>45</v>
      </c>
      <c r="F5" s="28" t="s">
        <v>76</v>
      </c>
      <c r="G5" s="47" t="s">
        <v>77</v>
      </c>
      <c r="H5" s="28" t="s">
        <v>78</v>
      </c>
      <c r="I5" s="28" t="s">
        <v>218</v>
      </c>
      <c r="J5" s="27" t="s">
        <v>219</v>
      </c>
      <c r="K5" s="27"/>
      <c r="L5" s="30" t="s">
        <v>2</v>
      </c>
      <c r="M5" s="27"/>
    </row>
    <row r="6" spans="1:13" ht="118" customHeight="1">
      <c r="A6" s="47" t="s">
        <v>79</v>
      </c>
      <c r="B6" s="28" t="s">
        <v>74</v>
      </c>
      <c r="C6" s="28" t="s">
        <v>8</v>
      </c>
      <c r="D6" s="49" t="s">
        <v>80</v>
      </c>
      <c r="E6" s="50" t="s">
        <v>68</v>
      </c>
      <c r="F6" s="52" t="s">
        <v>81</v>
      </c>
      <c r="G6" s="53" t="s">
        <v>82</v>
      </c>
      <c r="H6" s="52" t="s">
        <v>83</v>
      </c>
      <c r="I6" s="52" t="s">
        <v>83</v>
      </c>
      <c r="J6" s="31" t="s">
        <v>219</v>
      </c>
    </row>
    <row r="7" spans="1:13" ht="120" customHeight="1">
      <c r="A7" s="47" t="s">
        <v>84</v>
      </c>
      <c r="B7" s="28" t="s">
        <v>43</v>
      </c>
      <c r="C7" s="28" t="s">
        <v>8</v>
      </c>
      <c r="D7" s="28" t="s">
        <v>44</v>
      </c>
      <c r="E7" s="29" t="s">
        <v>45</v>
      </c>
      <c r="F7" s="28" t="s">
        <v>85</v>
      </c>
      <c r="G7" s="53" t="s">
        <v>86</v>
      </c>
      <c r="H7" s="28" t="s">
        <v>46</v>
      </c>
      <c r="I7" s="28" t="s">
        <v>46</v>
      </c>
      <c r="J7" s="31" t="s">
        <v>219</v>
      </c>
    </row>
    <row r="8" spans="1:13" ht="136.5" customHeight="1">
      <c r="A8" s="47" t="s">
        <v>87</v>
      </c>
      <c r="B8" s="28" t="s">
        <v>43</v>
      </c>
      <c r="C8" s="27" t="s">
        <v>26</v>
      </c>
      <c r="D8" s="28" t="s">
        <v>47</v>
      </c>
      <c r="E8" s="29" t="s">
        <v>32</v>
      </c>
      <c r="F8" s="28" t="s">
        <v>85</v>
      </c>
      <c r="G8" s="53" t="s">
        <v>88</v>
      </c>
      <c r="H8" s="28" t="s">
        <v>89</v>
      </c>
      <c r="I8" s="28" t="s">
        <v>220</v>
      </c>
      <c r="J8" s="31" t="s">
        <v>219</v>
      </c>
    </row>
    <row r="9" spans="1:13" ht="125.5" customHeight="1">
      <c r="A9" s="47" t="s">
        <v>95</v>
      </c>
      <c r="B9" s="55" t="s">
        <v>90</v>
      </c>
      <c r="C9" s="27" t="s">
        <v>26</v>
      </c>
      <c r="D9" s="60" t="s">
        <v>91</v>
      </c>
      <c r="E9" s="56" t="s">
        <v>68</v>
      </c>
      <c r="F9" s="54" t="s">
        <v>92</v>
      </c>
      <c r="G9" s="31" t="s">
        <v>93</v>
      </c>
      <c r="H9" s="52" t="s">
        <v>94</v>
      </c>
      <c r="I9" s="52" t="s">
        <v>94</v>
      </c>
      <c r="J9" s="27" t="s">
        <v>219</v>
      </c>
    </row>
    <row r="10" spans="1:13" ht="119" customHeight="1">
      <c r="A10" s="47" t="s">
        <v>99</v>
      </c>
      <c r="B10" s="55" t="s">
        <v>90</v>
      </c>
      <c r="C10" s="27" t="s">
        <v>26</v>
      </c>
      <c r="D10" s="59" t="s">
        <v>109</v>
      </c>
      <c r="E10" s="56" t="s">
        <v>70</v>
      </c>
      <c r="F10" s="52" t="s">
        <v>96</v>
      </c>
      <c r="G10" s="57" t="s">
        <v>97</v>
      </c>
      <c r="H10" s="52" t="s">
        <v>98</v>
      </c>
      <c r="I10" s="52" t="s">
        <v>98</v>
      </c>
      <c r="J10" s="31" t="s">
        <v>219</v>
      </c>
    </row>
    <row r="11" spans="1:13" ht="127.5" customHeight="1">
      <c r="A11" s="47" t="s">
        <v>100</v>
      </c>
      <c r="B11" s="55" t="s">
        <v>102</v>
      </c>
      <c r="C11" s="27" t="s">
        <v>26</v>
      </c>
      <c r="D11" s="59" t="s">
        <v>103</v>
      </c>
      <c r="E11" s="56" t="s">
        <v>70</v>
      </c>
      <c r="F11" s="52" t="s">
        <v>238</v>
      </c>
      <c r="G11" s="57" t="s">
        <v>239</v>
      </c>
      <c r="H11" s="52" t="s">
        <v>240</v>
      </c>
      <c r="I11" s="52" t="s">
        <v>240</v>
      </c>
      <c r="J11" s="31" t="s">
        <v>219</v>
      </c>
    </row>
    <row r="12" spans="1:13" ht="93" customHeight="1">
      <c r="A12" s="47" t="s">
        <v>105</v>
      </c>
      <c r="B12" s="55" t="s">
        <v>104</v>
      </c>
      <c r="C12" s="27" t="s">
        <v>26</v>
      </c>
      <c r="D12" s="51" t="s">
        <v>101</v>
      </c>
      <c r="E12" s="58" t="s">
        <v>68</v>
      </c>
      <c r="F12" s="49" t="s">
        <v>106</v>
      </c>
      <c r="G12" s="57" t="s">
        <v>107</v>
      </c>
      <c r="H12" s="52" t="s">
        <v>108</v>
      </c>
      <c r="I12" s="52" t="s">
        <v>108</v>
      </c>
      <c r="J12" s="31" t="s">
        <v>219</v>
      </c>
    </row>
    <row r="13" spans="1:13" ht="106.5" customHeight="1">
      <c r="A13" s="47" t="s">
        <v>114</v>
      </c>
      <c r="B13" s="59" t="s">
        <v>104</v>
      </c>
      <c r="C13" s="59" t="s">
        <v>8</v>
      </c>
      <c r="D13" s="49" t="s">
        <v>110</v>
      </c>
      <c r="E13" s="58" t="s">
        <v>70</v>
      </c>
      <c r="F13" s="53" t="s">
        <v>112</v>
      </c>
      <c r="G13" s="53" t="s">
        <v>111</v>
      </c>
      <c r="H13" s="48" t="s">
        <v>113</v>
      </c>
      <c r="I13" s="48" t="s">
        <v>113</v>
      </c>
      <c r="J13" s="27" t="s">
        <v>219</v>
      </c>
    </row>
    <row r="14" spans="1:13" ht="120.5" customHeight="1">
      <c r="A14" s="47" t="s">
        <v>117</v>
      </c>
      <c r="B14" s="59" t="s">
        <v>115</v>
      </c>
      <c r="C14" s="59" t="s">
        <v>8</v>
      </c>
      <c r="D14" s="49" t="s">
        <v>116</v>
      </c>
      <c r="E14" s="58" t="s">
        <v>68</v>
      </c>
      <c r="F14" s="49" t="s">
        <v>118</v>
      </c>
      <c r="G14" s="31" t="s">
        <v>119</v>
      </c>
      <c r="H14" s="48" t="s">
        <v>120</v>
      </c>
      <c r="I14" s="48" t="s">
        <v>120</v>
      </c>
      <c r="J14" s="31" t="s">
        <v>219</v>
      </c>
    </row>
    <row r="15" spans="1:13" ht="114.5" customHeight="1">
      <c r="A15" s="47" t="s">
        <v>121</v>
      </c>
      <c r="B15" s="59" t="s">
        <v>115</v>
      </c>
      <c r="C15" s="59" t="s">
        <v>26</v>
      </c>
      <c r="D15" s="60" t="s">
        <v>122</v>
      </c>
      <c r="E15" s="58" t="s">
        <v>70</v>
      </c>
      <c r="F15" s="52" t="s">
        <v>123</v>
      </c>
      <c r="G15" s="57" t="s">
        <v>124</v>
      </c>
      <c r="H15" s="48" t="s">
        <v>125</v>
      </c>
      <c r="I15" s="48" t="s">
        <v>125</v>
      </c>
      <c r="J15" s="31" t="s">
        <v>219</v>
      </c>
    </row>
    <row r="16" spans="1:13" ht="121" customHeight="1">
      <c r="A16" s="47" t="s">
        <v>130</v>
      </c>
      <c r="B16" s="59" t="s">
        <v>115</v>
      </c>
      <c r="C16" s="51" t="s">
        <v>26</v>
      </c>
      <c r="D16" s="52" t="s">
        <v>126</v>
      </c>
      <c r="E16" s="58" t="s">
        <v>68</v>
      </c>
      <c r="F16" s="60" t="s">
        <v>127</v>
      </c>
      <c r="G16" s="57" t="s">
        <v>128</v>
      </c>
      <c r="H16" s="48" t="s">
        <v>129</v>
      </c>
      <c r="I16" s="48" t="s">
        <v>129</v>
      </c>
      <c r="J16" s="31" t="s">
        <v>219</v>
      </c>
    </row>
    <row r="17" spans="1:11" ht="106">
      <c r="A17" s="47" t="s">
        <v>131</v>
      </c>
      <c r="B17" s="59" t="s">
        <v>145</v>
      </c>
      <c r="C17" s="59" t="s">
        <v>26</v>
      </c>
      <c r="D17" s="60" t="s">
        <v>146</v>
      </c>
      <c r="E17" s="58" t="s">
        <v>68</v>
      </c>
      <c r="F17" s="60" t="s">
        <v>127</v>
      </c>
      <c r="G17" s="57" t="s">
        <v>132</v>
      </c>
      <c r="H17" s="49" t="s">
        <v>147</v>
      </c>
      <c r="I17" s="48" t="s">
        <v>243</v>
      </c>
      <c r="J17" s="27" t="s">
        <v>241</v>
      </c>
      <c r="K17" s="48" t="s">
        <v>242</v>
      </c>
    </row>
    <row r="18" spans="1:11" ht="117.5" customHeight="1">
      <c r="A18" s="47" t="s">
        <v>134</v>
      </c>
      <c r="B18" s="51" t="s">
        <v>133</v>
      </c>
      <c r="C18" s="59" t="s">
        <v>26</v>
      </c>
      <c r="D18" s="60" t="s">
        <v>135</v>
      </c>
      <c r="E18" s="58" t="s">
        <v>68</v>
      </c>
      <c r="F18" s="52" t="s">
        <v>136</v>
      </c>
      <c r="G18" s="61" t="s">
        <v>137</v>
      </c>
      <c r="H18" s="48" t="s">
        <v>142</v>
      </c>
      <c r="I18" s="48" t="s">
        <v>142</v>
      </c>
      <c r="J18" s="31" t="s">
        <v>219</v>
      </c>
    </row>
    <row r="19" spans="1:11" ht="102" customHeight="1">
      <c r="A19" s="47" t="s">
        <v>140</v>
      </c>
      <c r="B19" s="59" t="s">
        <v>138</v>
      </c>
      <c r="C19" s="57" t="s">
        <v>26</v>
      </c>
      <c r="D19" s="49" t="s">
        <v>139</v>
      </c>
      <c r="E19" s="58" t="s">
        <v>68</v>
      </c>
      <c r="F19" s="60" t="s">
        <v>141</v>
      </c>
      <c r="G19" s="57" t="s">
        <v>143</v>
      </c>
      <c r="H19" s="48" t="s">
        <v>144</v>
      </c>
      <c r="I19" s="48" t="s">
        <v>144</v>
      </c>
      <c r="J19" s="31" t="s">
        <v>219</v>
      </c>
    </row>
    <row r="20" spans="1:11" ht="109.5" customHeight="1">
      <c r="A20" s="47" t="s">
        <v>153</v>
      </c>
      <c r="B20" s="59" t="s">
        <v>148</v>
      </c>
      <c r="C20" s="51" t="s">
        <v>26</v>
      </c>
      <c r="D20" s="60" t="s">
        <v>150</v>
      </c>
      <c r="E20" s="56" t="s">
        <v>68</v>
      </c>
      <c r="F20" s="52" t="s">
        <v>149</v>
      </c>
      <c r="G20" s="31" t="s">
        <v>151</v>
      </c>
      <c r="H20" s="31" t="s">
        <v>152</v>
      </c>
      <c r="I20" s="31" t="s">
        <v>152</v>
      </c>
      <c r="J20" s="31" t="s">
        <v>219</v>
      </c>
    </row>
    <row r="21" spans="1:11" ht="112" customHeight="1">
      <c r="A21" s="47" t="s">
        <v>154</v>
      </c>
      <c r="B21" s="59" t="s">
        <v>148</v>
      </c>
      <c r="C21" s="59" t="s">
        <v>26</v>
      </c>
      <c r="D21" s="60" t="s">
        <v>155</v>
      </c>
      <c r="E21" s="56" t="s">
        <v>68</v>
      </c>
      <c r="F21" s="60" t="s">
        <v>149</v>
      </c>
      <c r="G21" s="31" t="s">
        <v>156</v>
      </c>
      <c r="H21" s="31" t="s">
        <v>157</v>
      </c>
      <c r="I21" s="31" t="s">
        <v>157</v>
      </c>
      <c r="J21" s="27" t="s">
        <v>219</v>
      </c>
    </row>
    <row r="22" spans="1:11" ht="123">
      <c r="A22" s="47" t="s">
        <v>164</v>
      </c>
      <c r="B22" s="59" t="s">
        <v>158</v>
      </c>
      <c r="C22" s="51" t="s">
        <v>26</v>
      </c>
      <c r="D22" s="60" t="s">
        <v>159</v>
      </c>
      <c r="E22" s="56" t="s">
        <v>68</v>
      </c>
      <c r="F22" s="52" t="s">
        <v>160</v>
      </c>
      <c r="G22" s="31" t="s">
        <v>161</v>
      </c>
      <c r="H22" s="31" t="s">
        <v>152</v>
      </c>
      <c r="I22" s="31" t="s">
        <v>152</v>
      </c>
      <c r="J22" s="31" t="s">
        <v>219</v>
      </c>
    </row>
    <row r="23" spans="1:11" ht="123">
      <c r="A23" s="47" t="s">
        <v>165</v>
      </c>
      <c r="B23" s="59" t="s">
        <v>158</v>
      </c>
      <c r="C23" s="59" t="s">
        <v>26</v>
      </c>
      <c r="D23" s="60" t="s">
        <v>159</v>
      </c>
      <c r="E23" s="56" t="s">
        <v>68</v>
      </c>
      <c r="F23" s="60" t="s">
        <v>160</v>
      </c>
      <c r="G23" s="31" t="s">
        <v>162</v>
      </c>
      <c r="H23" s="31" t="s">
        <v>157</v>
      </c>
      <c r="I23" s="31" t="s">
        <v>157</v>
      </c>
      <c r="J23" s="31" t="s">
        <v>219</v>
      </c>
    </row>
    <row r="24" spans="1:11" ht="90.5" customHeight="1">
      <c r="A24" s="47" t="s">
        <v>170</v>
      </c>
      <c r="B24" s="49" t="s">
        <v>163</v>
      </c>
      <c r="C24" s="59" t="s">
        <v>26</v>
      </c>
      <c r="D24" s="62" t="s">
        <v>166</v>
      </c>
      <c r="E24" s="56" t="s">
        <v>68</v>
      </c>
      <c r="F24" s="48" t="s">
        <v>167</v>
      </c>
      <c r="G24" s="31" t="s">
        <v>168</v>
      </c>
      <c r="H24" s="31" t="s">
        <v>169</v>
      </c>
      <c r="I24" s="31" t="s">
        <v>244</v>
      </c>
      <c r="J24" s="31" t="s">
        <v>219</v>
      </c>
    </row>
    <row r="25" spans="1:11" ht="76.5" customHeight="1">
      <c r="A25" s="47" t="s">
        <v>171</v>
      </c>
      <c r="B25" s="49" t="s">
        <v>172</v>
      </c>
      <c r="C25" s="59" t="s">
        <v>26</v>
      </c>
      <c r="D25" s="63" t="s">
        <v>173</v>
      </c>
      <c r="E25" s="56" t="s">
        <v>70</v>
      </c>
      <c r="F25" s="48" t="s">
        <v>174</v>
      </c>
      <c r="G25" s="31" t="s">
        <v>176</v>
      </c>
      <c r="H25" s="31" t="s">
        <v>175</v>
      </c>
      <c r="I25" s="31" t="s">
        <v>175</v>
      </c>
      <c r="J25" s="27" t="s">
        <v>219</v>
      </c>
    </row>
    <row r="26" spans="1:11" ht="93.5" customHeight="1">
      <c r="A26" s="47" t="s">
        <v>177</v>
      </c>
      <c r="B26" s="49" t="s">
        <v>178</v>
      </c>
      <c r="C26" s="59" t="s">
        <v>8</v>
      </c>
      <c r="D26" s="63" t="s">
        <v>179</v>
      </c>
      <c r="E26" s="56" t="s">
        <v>70</v>
      </c>
      <c r="F26" s="48" t="s">
        <v>180</v>
      </c>
      <c r="G26" s="31" t="s">
        <v>181</v>
      </c>
      <c r="H26" s="31" t="s">
        <v>182</v>
      </c>
      <c r="I26" s="31" t="s">
        <v>182</v>
      </c>
      <c r="J26" s="31" t="s">
        <v>219</v>
      </c>
    </row>
    <row r="27" spans="1:11" ht="106.5" customHeight="1">
      <c r="A27" s="47" t="s">
        <v>183</v>
      </c>
      <c r="B27" s="49" t="s">
        <v>184</v>
      </c>
      <c r="C27" s="59" t="s">
        <v>26</v>
      </c>
      <c r="D27" s="63" t="s">
        <v>185</v>
      </c>
      <c r="E27" s="56" t="s">
        <v>186</v>
      </c>
      <c r="F27" s="48" t="s">
        <v>187</v>
      </c>
      <c r="G27" s="31" t="s">
        <v>188</v>
      </c>
      <c r="H27" s="31" t="s">
        <v>189</v>
      </c>
      <c r="I27" s="31" t="s">
        <v>189</v>
      </c>
      <c r="J27" s="31" t="s">
        <v>219</v>
      </c>
    </row>
    <row r="28" spans="1:11" ht="56">
      <c r="A28" s="101" t="s">
        <v>222</v>
      </c>
      <c r="B28" s="28" t="s">
        <v>190</v>
      </c>
      <c r="C28" s="27" t="s">
        <v>191</v>
      </c>
      <c r="D28" s="28" t="s">
        <v>192</v>
      </c>
      <c r="E28" s="29" t="s">
        <v>45</v>
      </c>
      <c r="F28" s="28" t="s">
        <v>193</v>
      </c>
      <c r="G28" s="47" t="s">
        <v>194</v>
      </c>
      <c r="H28" s="28" t="s">
        <v>195</v>
      </c>
      <c r="I28" s="28" t="s">
        <v>195</v>
      </c>
      <c r="J28" s="31" t="s">
        <v>219</v>
      </c>
    </row>
    <row r="29" spans="1:11" ht="47">
      <c r="A29" s="47" t="s">
        <v>227</v>
      </c>
      <c r="B29" s="28" t="s">
        <v>196</v>
      </c>
      <c r="C29" s="27" t="s">
        <v>197</v>
      </c>
      <c r="D29" s="100" t="s">
        <v>198</v>
      </c>
      <c r="E29" s="29" t="s">
        <v>45</v>
      </c>
      <c r="F29" s="28" t="s">
        <v>199</v>
      </c>
      <c r="G29" s="47" t="s">
        <v>200</v>
      </c>
      <c r="H29" s="28" t="s">
        <v>201</v>
      </c>
      <c r="I29" s="102" t="s">
        <v>221</v>
      </c>
      <c r="J29" s="31" t="s">
        <v>219</v>
      </c>
    </row>
    <row r="30" spans="1:11" ht="42">
      <c r="A30" s="47" t="s">
        <v>228</v>
      </c>
      <c r="B30" s="28" t="s">
        <v>202</v>
      </c>
      <c r="C30" s="27" t="s">
        <v>197</v>
      </c>
      <c r="D30" s="28" t="s">
        <v>203</v>
      </c>
      <c r="E30" s="29" t="s">
        <v>32</v>
      </c>
      <c r="F30" s="28" t="s">
        <v>204</v>
      </c>
      <c r="G30" s="99" t="s">
        <v>205</v>
      </c>
      <c r="H30" s="28" t="s">
        <v>206</v>
      </c>
      <c r="I30" s="28" t="s">
        <v>206</v>
      </c>
      <c r="J30" s="31" t="s">
        <v>219</v>
      </c>
    </row>
    <row r="31" spans="1:11" ht="42.5">
      <c r="A31" s="47" t="s">
        <v>229</v>
      </c>
      <c r="B31" s="28" t="s">
        <v>207</v>
      </c>
      <c r="C31" s="27" t="s">
        <v>208</v>
      </c>
      <c r="D31" s="28" t="s">
        <v>209</v>
      </c>
      <c r="E31" s="29" t="s">
        <v>45</v>
      </c>
      <c r="F31" s="28" t="s">
        <v>210</v>
      </c>
      <c r="G31" s="28" t="s">
        <v>211</v>
      </c>
      <c r="H31" s="28" t="s">
        <v>212</v>
      </c>
      <c r="I31" s="28" t="s">
        <v>212</v>
      </c>
      <c r="J31" s="31" t="s">
        <v>219</v>
      </c>
    </row>
    <row r="32" spans="1:11" ht="42.5">
      <c r="A32" s="47" t="s">
        <v>230</v>
      </c>
      <c r="B32" s="28" t="s">
        <v>213</v>
      </c>
      <c r="C32" s="27" t="s">
        <v>208</v>
      </c>
      <c r="D32" s="28" t="s">
        <v>214</v>
      </c>
      <c r="E32" s="29" t="s">
        <v>32</v>
      </c>
      <c r="F32" s="28" t="s">
        <v>215</v>
      </c>
      <c r="G32" s="28" t="s">
        <v>216</v>
      </c>
      <c r="H32" s="28" t="s">
        <v>217</v>
      </c>
      <c r="I32" s="28" t="s">
        <v>217</v>
      </c>
      <c r="J32" s="31" t="s">
        <v>219</v>
      </c>
    </row>
    <row r="33" spans="1:10" ht="46.5">
      <c r="A33" s="102" t="s">
        <v>231</v>
      </c>
      <c r="B33" s="48" t="s">
        <v>232</v>
      </c>
      <c r="C33" s="31" t="s">
        <v>233</v>
      </c>
      <c r="E33" s="56" t="s">
        <v>70</v>
      </c>
      <c r="F33" s="48" t="s">
        <v>234</v>
      </c>
      <c r="G33" s="48" t="s">
        <v>235</v>
      </c>
      <c r="H33" s="48" t="s">
        <v>237</v>
      </c>
      <c r="I33" s="105" t="s">
        <v>236</v>
      </c>
      <c r="J33" s="31" t="s">
        <v>219</v>
      </c>
    </row>
  </sheetData>
  <mergeCells count="1">
    <mergeCell ref="A1:M3"/>
  </mergeCells>
  <phoneticPr fontId="2" type="noConversion"/>
  <dataValidations count="5">
    <dataValidation type="list" allowBlank="1" showInputMessage="1" showErrorMessage="1" sqref="E7:E8 E5 E28:E32" xr:uid="{00000000-0002-0000-0100-000001000000}">
      <formula1>"高,中,低"</formula1>
    </dataValidation>
    <dataValidation type="list" allowBlank="1" showInputMessage="1" showErrorMessage="1" sqref="C1:C12 C19 C28:C1048576" xr:uid="{00000000-0002-0000-0100-000004000000}">
      <formula1>"功能测试,性能测试,可靠性测试,安全性测试,兼容性测试,易用性测试,部署测试"</formula1>
    </dataValidation>
    <dataValidation type="list" allowBlank="1" showInputMessage="1" showErrorMessage="1" sqref="J4" xr:uid="{00000000-0002-0000-0100-000000000000}">
      <formula1>#REF!</formula1>
    </dataValidation>
    <dataValidation type="list" allowBlank="1" showInputMessage="1" showErrorMessage="1" sqref="K5" xr:uid="{00000000-0002-0000-0100-000002000000}">
      <formula1>"Null(无缺陷),Urgent(严重错误),High(主要错误),Medium(一般错误),Low(微小错误)"</formula1>
    </dataValidation>
    <dataValidation type="list" allowBlank="1" showInputMessage="1" showErrorMessage="1" sqref="J5:J64540" xr:uid="{00000000-0002-0000-0100-000003000000}">
      <formula1>"Y,N"</formula1>
    </dataValidation>
  </dataValidations>
  <pageMargins left="0.75" right="0.75" top="1" bottom="1" header="0.5" footer="0.5"/>
  <pageSetup paperSize="9" orientation="portrait" horizontalDpi="1200" verticalDpi="1200" r:id="rId1"/>
  <headerFooter alignWithMargins="0"/>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B8"/>
  <sheetViews>
    <sheetView zoomScale="90" zoomScaleNormal="90" workbookViewId="0">
      <selection activeCell="B7" sqref="B7"/>
    </sheetView>
  </sheetViews>
  <sheetFormatPr defaultColWidth="9" defaultRowHeight="13.5"/>
  <cols>
    <col min="1" max="1" width="17" style="40" customWidth="1"/>
    <col min="2" max="2" width="76.58203125" style="40" customWidth="1"/>
    <col min="3" max="16384" width="9" style="40"/>
  </cols>
  <sheetData>
    <row r="1" spans="1:2" ht="20.399999999999999" customHeight="1">
      <c r="A1" s="44" t="s">
        <v>66</v>
      </c>
      <c r="B1" s="45" t="s">
        <v>67</v>
      </c>
    </row>
    <row r="2" spans="1:2" ht="36.25" customHeight="1">
      <c r="A2" s="42" t="s">
        <v>8</v>
      </c>
      <c r="B2" s="41" t="s">
        <v>64</v>
      </c>
    </row>
    <row r="3" spans="1:2" ht="40.5">
      <c r="A3" s="43" t="s">
        <v>33</v>
      </c>
      <c r="B3" s="41" t="s">
        <v>63</v>
      </c>
    </row>
    <row r="4" spans="1:2" ht="49.75" customHeight="1">
      <c r="A4" s="43" t="s">
        <v>35</v>
      </c>
      <c r="B4" s="41" t="s">
        <v>62</v>
      </c>
    </row>
    <row r="5" spans="1:2" ht="67.5">
      <c r="A5" s="43" t="s">
        <v>36</v>
      </c>
      <c r="B5" s="41" t="s">
        <v>59</v>
      </c>
    </row>
    <row r="6" spans="1:2" ht="40.5">
      <c r="A6" s="43" t="s">
        <v>37</v>
      </c>
      <c r="B6" s="41" t="s">
        <v>65</v>
      </c>
    </row>
    <row r="7" spans="1:2" ht="67.5">
      <c r="A7" s="43" t="s">
        <v>34</v>
      </c>
      <c r="B7" s="41" t="s">
        <v>60</v>
      </c>
    </row>
    <row r="8" spans="1:2" ht="15">
      <c r="A8" s="43" t="s">
        <v>9</v>
      </c>
      <c r="B8" s="41" t="s">
        <v>61</v>
      </c>
    </row>
  </sheetData>
  <phoneticPr fontId="2"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工作表</vt:lpstr>
      </vt:variant>
      <vt:variant>
        <vt:i4>3</vt:i4>
      </vt:variant>
      <vt:variant>
        <vt:lpstr>命名范围</vt:lpstr>
      </vt:variant>
      <vt:variant>
        <vt:i4>1</vt:i4>
      </vt:variant>
    </vt:vector>
  </HeadingPairs>
  <TitlesOfParts>
    <vt:vector size="4" baseType="lpstr">
      <vt:lpstr>Information</vt:lpstr>
      <vt:lpstr>Test Cases</vt:lpstr>
      <vt:lpstr>常用测试方法</vt:lpstr>
      <vt:lpstr>'Test Cases'!_Toc213169664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bjshen</dc:creator>
  <cp:lastModifiedBy>yang</cp:lastModifiedBy>
  <dcterms:created xsi:type="dcterms:W3CDTF">2012-04-21T07:17:30Z</dcterms:created>
  <dcterms:modified xsi:type="dcterms:W3CDTF">2026-01-11T12:34:48Z</dcterms:modified>
</cp:coreProperties>
</file>